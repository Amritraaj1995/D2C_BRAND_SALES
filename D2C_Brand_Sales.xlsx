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20490" windowHeight="7620" activeTab="4"/>
  </bookViews>
  <sheets>
    <sheet name="D2C sales data" sheetId="1" r:id="rId1"/>
    <sheet name="Region Sales" sheetId="2" r:id="rId2"/>
    <sheet name="Category Sales" sheetId="3" r:id="rId3"/>
    <sheet name="Monthly Trends" sheetId="4" r:id="rId4"/>
    <sheet name="Dashboard_Final" sheetId="5" r:id="rId5"/>
  </sheets>
  <definedNames>
    <definedName name="Slicer_category">#N/A</definedName>
  </definedNames>
  <calcPr calcId="191029"/>
  <pivotCaches>
    <pivotCache cacheId="0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<sst xmlns="http://schemas.openxmlformats.org/spreadsheetml/2006/main" count="543" uniqueCount="161">
  <si>
    <t>orderid</t>
  </si>
  <si>
    <t>date</t>
  </si>
  <si>
    <t>category</t>
  </si>
  <si>
    <t>product</t>
  </si>
  <si>
    <t>region</t>
  </si>
  <si>
    <t>sales</t>
  </si>
  <si>
    <t>profit</t>
  </si>
  <si>
    <t>payementmode</t>
  </si>
  <si>
    <t>ORD1001</t>
  </si>
  <si>
    <t>Skincare</t>
  </si>
  <si>
    <t>Face Serum</t>
  </si>
  <si>
    <t>North</t>
  </si>
  <si>
    <t>UPI</t>
  </si>
  <si>
    <t>ORD1002</t>
  </si>
  <si>
    <t>Apparel</t>
  </si>
  <si>
    <t>Cotton T-Shirt</t>
  </si>
  <si>
    <t>West</t>
  </si>
  <si>
    <t>Credit Card</t>
  </si>
  <si>
    <t>ORD1003</t>
  </si>
  <si>
    <t>Electronics</t>
  </si>
  <si>
    <t>Wireless Earbuds</t>
  </si>
  <si>
    <t>South</t>
  </si>
  <si>
    <t>ORD1004</t>
  </si>
  <si>
    <t>Home</t>
  </si>
  <si>
    <t>LED Lamp</t>
  </si>
  <si>
    <t>East</t>
  </si>
  <si>
    <t>Cash on Delivery</t>
  </si>
  <si>
    <t>ORD1005</t>
  </si>
  <si>
    <t>Beauty</t>
  </si>
  <si>
    <t>Lipstick</t>
  </si>
  <si>
    <t>Debit Card</t>
  </si>
  <si>
    <t>ORD1006</t>
  </si>
  <si>
    <t>Moisturizer</t>
  </si>
  <si>
    <t>ORD1007</t>
  </si>
  <si>
    <t>Hoodie</t>
  </si>
  <si>
    <t>ORD1008</t>
  </si>
  <si>
    <t>Smart Watch</t>
  </si>
  <si>
    <t>ORD1009</t>
  </si>
  <si>
    <t>Bedsheet Set</t>
  </si>
  <si>
    <t>ORD1010</t>
  </si>
  <si>
    <t>Face Wash</t>
  </si>
  <si>
    <t>ORD1011</t>
  </si>
  <si>
    <t>Sunscreen</t>
  </si>
  <si>
    <t>ORD1012</t>
  </si>
  <si>
    <t>Denim Jeans</t>
  </si>
  <si>
    <t>ORD1013</t>
  </si>
  <si>
    <t>Bluetooth Speaker</t>
  </si>
  <si>
    <t>ORD1014</t>
  </si>
  <si>
    <t>Cushion Set</t>
  </si>
  <si>
    <t>ORD1015</t>
  </si>
  <si>
    <t>Compact Powder</t>
  </si>
  <si>
    <t>ORD1016</t>
  </si>
  <si>
    <t>Body Lotion</t>
  </si>
  <si>
    <t>ORD1017</t>
  </si>
  <si>
    <t>Formal Shirt</t>
  </si>
  <si>
    <t>ORD1018</t>
  </si>
  <si>
    <t>Power Bank</t>
  </si>
  <si>
    <t>ORD1019</t>
  </si>
  <si>
    <t>Wall Clock</t>
  </si>
  <si>
    <t>ORD1020</t>
  </si>
  <si>
    <t>Perfume</t>
  </si>
  <si>
    <t>ORD1021</t>
  </si>
  <si>
    <t>ORD1022</t>
  </si>
  <si>
    <t>ORD1023</t>
  </si>
  <si>
    <t>ORD1024</t>
  </si>
  <si>
    <t>ORD1025</t>
  </si>
  <si>
    <t>ORD1026</t>
  </si>
  <si>
    <t>ORD1027</t>
  </si>
  <si>
    <t>ORD1028</t>
  </si>
  <si>
    <t>ORD1029</t>
  </si>
  <si>
    <t>ORD1030</t>
  </si>
  <si>
    <t>ORD1031</t>
  </si>
  <si>
    <t>ORD1032</t>
  </si>
  <si>
    <t>ORD1033</t>
  </si>
  <si>
    <t>ORD1034</t>
  </si>
  <si>
    <t>ORD1035</t>
  </si>
  <si>
    <t>ORD1036</t>
  </si>
  <si>
    <t>ORD1037</t>
  </si>
  <si>
    <t>ORD1038</t>
  </si>
  <si>
    <t>ORD1039</t>
  </si>
  <si>
    <t>ORD1040</t>
  </si>
  <si>
    <t>ORD1041</t>
  </si>
  <si>
    <t>ORD1042</t>
  </si>
  <si>
    <t>ORD1043</t>
  </si>
  <si>
    <t>ORD1044</t>
  </si>
  <si>
    <t>ORD1045</t>
  </si>
  <si>
    <t>ORD1046</t>
  </si>
  <si>
    <t>ORD1047</t>
  </si>
  <si>
    <t>ORD1048</t>
  </si>
  <si>
    <t>ORD1049</t>
  </si>
  <si>
    <t>ORD1050</t>
  </si>
  <si>
    <t>ORD1051</t>
  </si>
  <si>
    <t>ORD1052</t>
  </si>
  <si>
    <t>ORD1053</t>
  </si>
  <si>
    <t>ORD1054</t>
  </si>
  <si>
    <t>ORD1055</t>
  </si>
  <si>
    <t>ORD1056</t>
  </si>
  <si>
    <t>ORD1057</t>
  </si>
  <si>
    <t>ORD1058</t>
  </si>
  <si>
    <t>ORD1059</t>
  </si>
  <si>
    <t>ORD1060</t>
  </si>
  <si>
    <t>ORD1061</t>
  </si>
  <si>
    <t>ORD1062</t>
  </si>
  <si>
    <t>ORD1063</t>
  </si>
  <si>
    <t>ORD1064</t>
  </si>
  <si>
    <t>ORD1065</t>
  </si>
  <si>
    <t>ORD1066</t>
  </si>
  <si>
    <t>ORD1067</t>
  </si>
  <si>
    <t>ORD1068</t>
  </si>
  <si>
    <t>ORD1069</t>
  </si>
  <si>
    <t>ORD1070</t>
  </si>
  <si>
    <t>ORD1071</t>
  </si>
  <si>
    <t>ORD1072</t>
  </si>
  <si>
    <t>ORD1073</t>
  </si>
  <si>
    <t>ORD1074</t>
  </si>
  <si>
    <t>ORD1075</t>
  </si>
  <si>
    <t>ORD1076</t>
  </si>
  <si>
    <t>ORD1077</t>
  </si>
  <si>
    <t>ORD1078</t>
  </si>
  <si>
    <t>ORD1079</t>
  </si>
  <si>
    <t>ORD1080</t>
  </si>
  <si>
    <t>ORD1081</t>
  </si>
  <si>
    <t>ORD1082</t>
  </si>
  <si>
    <t>ORD1083</t>
  </si>
  <si>
    <t>ORD1084</t>
  </si>
  <si>
    <t>ORD1085</t>
  </si>
  <si>
    <t>ORD1086</t>
  </si>
  <si>
    <t>ORD1087</t>
  </si>
  <si>
    <t>ORD1088</t>
  </si>
  <si>
    <t>ORD1089</t>
  </si>
  <si>
    <t>ORD1090</t>
  </si>
  <si>
    <t>ORD1091</t>
  </si>
  <si>
    <t>ORD1092</t>
  </si>
  <si>
    <t>ORD1093</t>
  </si>
  <si>
    <t>ORD1094</t>
  </si>
  <si>
    <t>ORD1095</t>
  </si>
  <si>
    <t>ORD1096</t>
  </si>
  <si>
    <t>ORD1097</t>
  </si>
  <si>
    <t>ORD1098</t>
  </si>
  <si>
    <t>ORD1099</t>
  </si>
  <si>
    <t>ORD1100</t>
  </si>
  <si>
    <t>Row Labels</t>
  </si>
  <si>
    <t>Sum of sales</t>
  </si>
  <si>
    <t>Grand Total</t>
  </si>
  <si>
    <t>Jan</t>
  </si>
  <si>
    <t>Feb</t>
  </si>
  <si>
    <t>Mar</t>
  </si>
  <si>
    <t>Apr</t>
  </si>
  <si>
    <t>Total Sales</t>
  </si>
  <si>
    <t>Total Profit</t>
  </si>
  <si>
    <t>Profit%</t>
  </si>
  <si>
    <t>Category filter and Region Filter</t>
  </si>
  <si>
    <t>Category Sales-Key Insights</t>
  </si>
  <si>
    <r>
      <t>a)</t>
    </r>
    <r>
      <rPr>
        <sz val="11"/>
        <color theme="1"/>
        <rFont val="Aptos Narrow"/>
        <charset val="134"/>
      </rPr>
      <t xml:space="preserve"> </t>
    </r>
    <r>
      <rPr>
        <b/>
        <sz val="11"/>
        <color rgb="FFFF0000"/>
        <rFont val="Aptos Narrow"/>
        <charset val="134"/>
      </rPr>
      <t>Electronics is the highest selling category</t>
    </r>
    <r>
      <rPr>
        <sz val="11"/>
        <color rgb="FFFF0000"/>
        <rFont val="Aptos Narrow"/>
        <charset val="134"/>
      </rPr>
      <t xml:space="preserve">,generating sales of </t>
    </r>
    <r>
      <rPr>
        <b/>
        <sz val="11"/>
        <color rgb="FFFF0000"/>
        <rFont val="Aptos Narrow"/>
        <charset val="134"/>
      </rPr>
      <t>RS 39,480</t>
    </r>
    <r>
      <rPr>
        <sz val="11"/>
        <color theme="1"/>
        <rFont val="Aptos Narrow"/>
        <charset val="134"/>
      </rPr>
      <t>.</t>
    </r>
  </si>
  <si>
    <r>
      <t>b)</t>
    </r>
    <r>
      <rPr>
        <b/>
        <sz val="11"/>
        <color rgb="FFFF0000"/>
        <rFont val="Aptos Narrow"/>
        <charset val="134"/>
        <scheme val="minor"/>
      </rPr>
      <t>Apparel ranks second</t>
    </r>
    <r>
      <rPr>
        <sz val="11"/>
        <color rgb="FFFF0000"/>
        <rFont val="Aptos Narrow"/>
        <charset val="134"/>
        <scheme val="minor"/>
      </rPr>
      <t xml:space="preserve"> with sales of </t>
    </r>
    <r>
      <rPr>
        <b/>
        <sz val="11"/>
        <color rgb="FFFF0000"/>
        <rFont val="Aptos Narrow"/>
        <charset val="134"/>
        <scheme val="minor"/>
      </rPr>
      <t>RS 25,480</t>
    </r>
    <r>
      <rPr>
        <sz val="11"/>
        <color rgb="FFFF0000"/>
        <rFont val="Aptos Narrow"/>
        <charset val="134"/>
        <scheme val="minor"/>
      </rPr>
      <t>.</t>
    </r>
  </si>
  <si>
    <r>
      <t>c)</t>
    </r>
    <r>
      <rPr>
        <b/>
        <sz val="11"/>
        <color rgb="FFFF0000"/>
        <rFont val="Aptos Narrow"/>
        <charset val="134"/>
        <scheme val="minor"/>
      </rPr>
      <t xml:space="preserve">Home, Skincare and Beauty </t>
    </r>
    <r>
      <rPr>
        <sz val="11"/>
        <color rgb="FFFF0000"/>
        <rFont val="Aptos Narrow"/>
        <charset val="134"/>
        <scheme val="minor"/>
      </rPr>
      <t xml:space="preserve">contribute relatively lower sales, with </t>
    </r>
    <r>
      <rPr>
        <b/>
        <sz val="11"/>
        <color rgb="FFFF0000"/>
        <rFont val="Aptos Narrow"/>
        <charset val="134"/>
        <scheme val="minor"/>
      </rPr>
      <t>Beauty being the lowest at Rs 15,730</t>
    </r>
    <r>
      <rPr>
        <sz val="11"/>
        <color theme="1"/>
        <rFont val="Aptos Narrow"/>
        <charset val="134"/>
        <scheme val="minor"/>
      </rPr>
      <t>.</t>
    </r>
  </si>
  <si>
    <r>
      <t>d)</t>
    </r>
    <r>
      <rPr>
        <sz val="11"/>
        <color rgb="FFFF0000"/>
        <rFont val="Aptos Narrow"/>
        <charset val="134"/>
        <scheme val="minor"/>
      </rPr>
      <t xml:space="preserve">This indicates a </t>
    </r>
    <r>
      <rPr>
        <b/>
        <sz val="11"/>
        <color rgb="FFFF0000"/>
        <rFont val="Aptos Narrow"/>
        <charset val="134"/>
        <scheme val="minor"/>
      </rPr>
      <t>strong customer preference for Electronics</t>
    </r>
    <r>
      <rPr>
        <sz val="11"/>
        <color rgb="FFFF0000"/>
        <rFont val="Aptos Narrow"/>
        <charset val="134"/>
        <scheme val="minor"/>
      </rPr>
      <t xml:space="preserve"> compared with other categories</t>
    </r>
    <r>
      <rPr>
        <sz val="11"/>
        <color theme="1"/>
        <rFont val="Aptos Narrow"/>
        <charset val="134"/>
        <scheme val="minor"/>
      </rPr>
      <t>.</t>
    </r>
  </si>
  <si>
    <t>Monthly Trends-Key insights</t>
  </si>
  <si>
    <r>
      <t>March recorded the highest sales, while April saw a sharp decline after relatively stable in January and February</t>
    </r>
    <r>
      <rPr>
        <sz val="11"/>
        <color theme="1"/>
        <rFont val="Aptos Narrow"/>
        <charset val="134"/>
        <scheme val="minor"/>
      </rPr>
      <t>.</t>
    </r>
  </si>
  <si>
    <t>Region salesTrends- Key Insight</t>
  </si>
  <si>
    <r>
      <t>East is the highest-performing sales region,while West records the lowest sales,indicatingpotential scope for improvementin the region</t>
    </r>
    <r>
      <rPr>
        <sz val="11"/>
        <color theme="1"/>
        <rFont val="Aptos Narrow"/>
        <charset val="134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</si>
</sst>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9">
    <font>
      <sz val="11"/>
      <color theme="1"/>
      <name val="Aptos Narrow"/>
      <charset val="134"/>
      <scheme val="minor"/>
    </font>
    <font>
      <sz val="14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</font>
    <font>
      <sz val="11"/>
      <color theme="1"/>
      <name val="Aptos Narrow"/>
      <charset val="134"/>
    </font>
    <font>
      <b/>
      <sz val="11"/>
      <color rgb="FFFF0000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b/>
      <sz val="11"/>
      <color rgb="FFFF0000"/>
      <name val="Aptos Narrow"/>
      <charset val="134"/>
    </font>
    <font>
      <sz val="11"/>
      <color rgb="FFFF0000"/>
      <name val="Aptos Narrow"/>
      <charset val="134"/>
    </font>
    <font>
      <sz val="11"/>
      <color rgb="FFFF0000"/>
      <name val="Aptos Narrow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7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9" borderId="6" applyNumberFormat="0" applyAlignment="0" applyProtection="0">
      <alignment vertical="center"/>
    </xf>
    <xf numFmtId="0" fontId="18" fillId="10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0" fillId="5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wrapText="1"/>
    </xf>
    <xf numFmtId="0" fontId="0" fillId="5" borderId="1" xfId="0" applyFill="1" applyBorder="1" applyAlignment="1">
      <alignment horizontal="center" wrapText="1"/>
    </xf>
    <xf numFmtId="10" fontId="0" fillId="3" borderId="1" xfId="0" applyNumberForma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NumberFormat="1"/>
    <xf numFmtId="49" fontId="0" fillId="0" borderId="0" xfId="0" applyNumberFormat="1"/>
    <xf numFmtId="15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8">
    <dxf>
      <numFmt numFmtId="49" formatCode="@"/>
    </dxf>
    <dxf>
      <numFmt numFmtId="15" formatCode="d\-mmm\-yy"/>
    </dxf>
    <dxf>
      <numFmt numFmtId="49" formatCode="@"/>
    </dxf>
    <dxf>
      <numFmt numFmtId="49" formatCode="@"/>
    </dxf>
    <dxf>
      <numFmt numFmtId="49" formatCode="@"/>
    </dxf>
    <dxf>
      <numFmt numFmtId="0" formatCode="General"/>
    </dxf>
    <dxf>
      <numFmt numFmtId="0" formatCode="General"/>
    </dxf>
    <dxf>
      <numFmt numFmtId="49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microsoft.com/office/2007/relationships/slicerCache" Target="slicerCaches/slicerCache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[D2C_Brand_Sales.xlsx]Region Sales!PivotTable1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'Region Sales'!$B$3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'Region Sales'!$A$4:$A$8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Sales'!$B$4:$B$8</c:f>
              <c:numCache>
                <c:formatCode>General</c:formatCode>
                <c:ptCount val="4"/>
                <c:pt idx="0">
                  <c:v>38225</c:v>
                </c:pt>
                <c:pt idx="1">
                  <c:v>28475</c:v>
                </c:pt>
                <c:pt idx="2">
                  <c:v>28225</c:v>
                </c:pt>
                <c:pt idx="3">
                  <c:v>20225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77204608"/>
        <c:axId val="1950241584"/>
      </c:barChart>
      <c:catAx>
        <c:axId val="1772046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50241584"/>
        <c:crosses val="autoZero"/>
        <c:auto val="1"/>
        <c:lblAlgn val="ctr"/>
        <c:lblOffset val="100"/>
        <c:noMultiLvlLbl val="0"/>
      </c:catAx>
      <c:valAx>
        <c:axId val="1950241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7204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25c3be6-1e26-4e6f-aef7-516cf77d76dc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[D2C_Brand_Sales.xlsx]Category Sales!PivotTable2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Category sales</a:t>
            </a:r>
            <a:endParaRPr lang="en-US"/>
          </a:p>
        </c:rich>
      </c:tx>
      <c:layout/>
      <c:overlay val="0"/>
      <c:spPr>
        <a:solidFill>
          <a:schemeClr val="accent1">
            <a:lumMod val="60000"/>
            <a:lumOff val="40000"/>
          </a:schemeClr>
        </a:solidFill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'Category Sales'!$B$3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dLbl>
              <c:idx val="0"/>
              <c:layout>
                <c:manualLayout>
                  <c:x val="0.111111111111111"/>
                  <c:y val="-0.0833333333333334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.133333333333333"/>
                  <c:y val="-0.0185185185185186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.0277777777777777"/>
                  <c:y val="0.115740740740741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141666666666667"/>
                  <c:y val="0.00925925925925926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0.0777777777777778"/>
                  <c:y val="-0.125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'Category Sales'!$A$4:$A$9</c:f>
              <c:strCache>
                <c:ptCount val="5"/>
                <c:pt idx="0">
                  <c:v>Apparel</c:v>
                </c:pt>
                <c:pt idx="1">
                  <c:v>Beauty</c:v>
                </c:pt>
                <c:pt idx="2">
                  <c:v>Electronics</c:v>
                </c:pt>
                <c:pt idx="3">
                  <c:v>Home</c:v>
                </c:pt>
                <c:pt idx="4">
                  <c:v>Skincare</c:v>
                </c:pt>
              </c:strCache>
            </c:strRef>
          </c:cat>
          <c:val>
            <c:numRef>
              <c:f>'Category Sales'!$B$4:$B$9</c:f>
              <c:numCache>
                <c:formatCode>General</c:formatCode>
                <c:ptCount val="5"/>
                <c:pt idx="0">
                  <c:v>25480</c:v>
                </c:pt>
                <c:pt idx="1">
                  <c:v>15730</c:v>
                </c:pt>
                <c:pt idx="2">
                  <c:v>39480</c:v>
                </c:pt>
                <c:pt idx="3">
                  <c:v>17980</c:v>
                </c:pt>
                <c:pt idx="4">
                  <c:v>16480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d0baf1a-fb1f-478c-b145-52b527630e3c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[D2C_Brand_Sales.xlsx]Category Sales!PivotTable2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Category sales</a:t>
            </a:r>
            <a:endParaRPr lang="en-US"/>
          </a:p>
        </c:rich>
      </c:tx>
      <c:layout>
        <c:manualLayout>
          <c:xMode val="edge"/>
          <c:yMode val="edge"/>
          <c:x val="0.325048556430446"/>
          <c:y val="0.0776829979585885"/>
        </c:manualLayout>
      </c:layout>
      <c:overlay val="0"/>
      <c:spPr>
        <a:solidFill>
          <a:schemeClr val="tx2">
            <a:lumMod val="50000"/>
            <a:lumOff val="50000"/>
          </a:schemeClr>
        </a:solidFill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'Category Sales'!$B$3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'Category Sales'!$A$4:$A$9</c:f>
              <c:strCache>
                <c:ptCount val="5"/>
                <c:pt idx="0">
                  <c:v>Apparel</c:v>
                </c:pt>
                <c:pt idx="1">
                  <c:v>Beauty</c:v>
                </c:pt>
                <c:pt idx="2">
                  <c:v>Electronics</c:v>
                </c:pt>
                <c:pt idx="3">
                  <c:v>Home</c:v>
                </c:pt>
                <c:pt idx="4">
                  <c:v>Skincare</c:v>
                </c:pt>
              </c:strCache>
            </c:strRef>
          </c:cat>
          <c:val>
            <c:numRef>
              <c:f>'Category Sales'!$B$4:$B$9</c:f>
              <c:numCache>
                <c:formatCode>General</c:formatCode>
                <c:ptCount val="5"/>
                <c:pt idx="0">
                  <c:v>25480</c:v>
                </c:pt>
                <c:pt idx="1">
                  <c:v>15730</c:v>
                </c:pt>
                <c:pt idx="2">
                  <c:v>39480</c:v>
                </c:pt>
                <c:pt idx="3">
                  <c:v>17980</c:v>
                </c:pt>
                <c:pt idx="4">
                  <c:v>16480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20539840"/>
        <c:axId val="1950330384"/>
      </c:barChart>
      <c:catAx>
        <c:axId val="1205398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50330384"/>
        <c:crosses val="autoZero"/>
        <c:auto val="1"/>
        <c:lblAlgn val="ctr"/>
        <c:lblOffset val="100"/>
        <c:noMultiLvlLbl val="0"/>
      </c:catAx>
      <c:valAx>
        <c:axId val="1950330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0539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987bbb9-7665-427e-bf3f-bf3190607a3a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[D2C_Brand_Sales.xlsx]Monthly Trends!PivotTable3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Trends</a:t>
            </a:r>
            <a:endParaRPr lang="en-US"/>
          </a:p>
        </c:rich>
      </c:tx>
      <c:layout/>
      <c:overlay val="0"/>
      <c:spPr>
        <a:solidFill>
          <a:schemeClr val="accent2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Trends'!$B$3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dLbls>
            <c:dLbl>
              <c:idx val="0"/>
              <c:layout>
                <c:manualLayout>
                  <c:x val="-0.0416666666666667"/>
                  <c:y val="-0.055555555555555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0666666666666667"/>
                  <c:y val="-0.0555553732866725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en-GB"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7777777777778"/>
                      <c:h val="0.0786344415281423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'Monthly Trends'!$A$4:$A$8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'Monthly Trends'!$B$4:$B$8</c:f>
              <c:numCache>
                <c:formatCode>General</c:formatCode>
                <c:ptCount val="4"/>
                <c:pt idx="0">
                  <c:v>35570</c:v>
                </c:pt>
                <c:pt idx="1">
                  <c:v>31322</c:v>
                </c:pt>
                <c:pt idx="2">
                  <c:v>37269</c:v>
                </c:pt>
                <c:pt idx="3">
                  <c:v>10989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1858075984"/>
        <c:axId val="1950334224"/>
      </c:lineChart>
      <c:catAx>
        <c:axId val="1858075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</a:p>
        </c:txPr>
        <c:crossAx val="1950334224"/>
        <c:crosses val="autoZero"/>
        <c:auto val="1"/>
        <c:lblAlgn val="ctr"/>
        <c:lblOffset val="100"/>
        <c:noMultiLvlLbl val="0"/>
      </c:catAx>
      <c:valAx>
        <c:axId val="19503342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</a:p>
        </c:txPr>
        <c:crossAx val="1858075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9409ab7-0063-418d-8751-65653aa4ecb7}"/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[D2C_Brand_Sales.xlsx]Monthly Trends!PivotTable3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Trends</a:t>
            </a:r>
            <a:endParaRPr lang="en-US"/>
          </a:p>
        </c:rich>
      </c:tx>
      <c:layout/>
      <c:overlay val="0"/>
      <c:spPr>
        <a:solidFill>
          <a:schemeClr val="accent2"/>
        </a:solidFill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68358705161855"/>
          <c:y val="0.272541921843103"/>
          <c:w val="0.734844151943694"/>
          <c:h val="0.527434655573714"/>
        </c:manualLayout>
      </c:layout>
      <c:lineChart>
        <c:grouping val="standard"/>
        <c:varyColors val="0"/>
        <c:ser>
          <c:idx val="0"/>
          <c:order val="0"/>
          <c:tx>
            <c:strRef>
              <c:f>'Monthly Trends'!$B$3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dLbls>
            <c:dLbl>
              <c:idx val="0"/>
              <c:layout>
                <c:manualLayout>
                  <c:x val="-0.0416666666666667"/>
                  <c:y val="-0.055555555555555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0666666666666667"/>
                  <c:y val="-0.0555553732866725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en-GB"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7777777777778"/>
                      <c:h val="0.0786344415281423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'Monthly Trends'!$A$4:$A$8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'Monthly Trends'!$B$4:$B$8</c:f>
              <c:numCache>
                <c:formatCode>General</c:formatCode>
                <c:ptCount val="4"/>
                <c:pt idx="0">
                  <c:v>35570</c:v>
                </c:pt>
                <c:pt idx="1">
                  <c:v>31322</c:v>
                </c:pt>
                <c:pt idx="2">
                  <c:v>37269</c:v>
                </c:pt>
                <c:pt idx="3">
                  <c:v>10989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1858075984"/>
        <c:axId val="1950334224"/>
      </c:lineChart>
      <c:catAx>
        <c:axId val="1858075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</a:p>
        </c:txPr>
        <c:crossAx val="1950334224"/>
        <c:crosses val="autoZero"/>
        <c:auto val="1"/>
        <c:lblAlgn val="ctr"/>
        <c:lblOffset val="100"/>
        <c:noMultiLvlLbl val="0"/>
      </c:catAx>
      <c:valAx>
        <c:axId val="19503342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</a:p>
        </c:txPr>
        <c:crossAx val="1858075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8218560088302"/>
          <c:y val="0.431106333110575"/>
          <c:w val="0.163201316253379"/>
          <c:h val="0.07861694646659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c20fd75-ef18-46bd-87f8-5868654548d8}"/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[D2C_Brand_Sales.xlsx]Category Sales!PivotTable2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Category sales</a:t>
            </a:r>
            <a:endParaRPr lang="en-US"/>
          </a:p>
        </c:rich>
      </c:tx>
      <c:layout>
        <c:manualLayout>
          <c:xMode val="edge"/>
          <c:yMode val="edge"/>
          <c:x val="0.325048556430446"/>
          <c:y val="0.0776829979585885"/>
        </c:manualLayout>
      </c:layout>
      <c:overlay val="0"/>
      <c:spPr>
        <a:solidFill>
          <a:schemeClr val="tx2">
            <a:lumMod val="50000"/>
            <a:lumOff val="50000"/>
          </a:schemeClr>
        </a:solidFill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'Category Sales'!$B$3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'Category Sales'!$A$4:$A$9</c:f>
              <c:strCache>
                <c:ptCount val="5"/>
                <c:pt idx="0">
                  <c:v>Apparel</c:v>
                </c:pt>
                <c:pt idx="1">
                  <c:v>Beauty</c:v>
                </c:pt>
                <c:pt idx="2">
                  <c:v>Electronics</c:v>
                </c:pt>
                <c:pt idx="3">
                  <c:v>Home</c:v>
                </c:pt>
                <c:pt idx="4">
                  <c:v>Skincare</c:v>
                </c:pt>
              </c:strCache>
            </c:strRef>
          </c:cat>
          <c:val>
            <c:numRef>
              <c:f>'Category Sales'!$B$4:$B$9</c:f>
              <c:numCache>
                <c:formatCode>General</c:formatCode>
                <c:ptCount val="5"/>
                <c:pt idx="0">
                  <c:v>25480</c:v>
                </c:pt>
                <c:pt idx="1">
                  <c:v>15730</c:v>
                </c:pt>
                <c:pt idx="2">
                  <c:v>39480</c:v>
                </c:pt>
                <c:pt idx="3">
                  <c:v>17980</c:v>
                </c:pt>
                <c:pt idx="4">
                  <c:v>16480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20539840"/>
        <c:axId val="1950330384"/>
      </c:barChart>
      <c:catAx>
        <c:axId val="1205398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50330384"/>
        <c:crosses val="autoZero"/>
        <c:auto val="1"/>
        <c:lblAlgn val="ctr"/>
        <c:lblOffset val="100"/>
        <c:noMultiLvlLbl val="0"/>
      </c:catAx>
      <c:valAx>
        <c:axId val="1950330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0539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5e11ad7-2a81-47e9-a8b8-3adef0325649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[D2C_Brand_Sales.xlsx]Region Sales!PivotTable1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Region Sales</a:t>
            </a:r>
            <a:endParaRPr lang="en-US"/>
          </a:p>
        </c:rich>
      </c:tx>
      <c:layout/>
      <c:overlay val="0"/>
      <c:spPr>
        <a:solidFill>
          <a:schemeClr val="accent1">
            <a:lumMod val="40000"/>
            <a:lumOff val="60000"/>
          </a:schemeClr>
        </a:solidFill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'Region Sales'!$B$3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'Region Sales'!$A$4:$A$8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Sales'!$B$4:$B$8</c:f>
              <c:numCache>
                <c:formatCode>General</c:formatCode>
                <c:ptCount val="4"/>
                <c:pt idx="0">
                  <c:v>38225</c:v>
                </c:pt>
                <c:pt idx="1">
                  <c:v>28475</c:v>
                </c:pt>
                <c:pt idx="2">
                  <c:v>28225</c:v>
                </c:pt>
                <c:pt idx="3">
                  <c:v>20225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77204608"/>
        <c:axId val="1950241584"/>
      </c:barChart>
      <c:catAx>
        <c:axId val="1772046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50241584"/>
        <c:crosses val="autoZero"/>
        <c:auto val="1"/>
        <c:lblAlgn val="ctr"/>
        <c:lblOffset val="100"/>
        <c:noMultiLvlLbl val="0"/>
      </c:catAx>
      <c:valAx>
        <c:axId val="1950241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7204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a562920-dda3-469e-8b29-57fee4ca4f0a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28575</xdr:colOff>
      <xdr:row>0</xdr:row>
      <xdr:rowOff>185737</xdr:rowOff>
    </xdr:from>
    <xdr:to>
      <xdr:col>10</xdr:col>
      <xdr:colOff>333375</xdr:colOff>
      <xdr:row>15</xdr:row>
      <xdr:rowOff>71437</xdr:rowOff>
    </xdr:to>
    <xdr:graphicFrame>
      <xdr:nvGraphicFramePr>
        <xdr:cNvPr id="2" name="Chart 1"/>
        <xdr:cNvGraphicFramePr/>
      </xdr:nvGraphicFramePr>
      <xdr:xfrm>
        <a:off x="2684145" y="171450"/>
        <a:ext cx="5105400" cy="24714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604837</xdr:colOff>
      <xdr:row>1</xdr:row>
      <xdr:rowOff>161925</xdr:rowOff>
    </xdr:from>
    <xdr:to>
      <xdr:col>10</xdr:col>
      <xdr:colOff>300037</xdr:colOff>
      <xdr:row>16</xdr:row>
      <xdr:rowOff>47625</xdr:rowOff>
    </xdr:to>
    <xdr:graphicFrame>
      <xdr:nvGraphicFramePr>
        <xdr:cNvPr id="2" name="Chart 1"/>
        <xdr:cNvGraphicFramePr/>
      </xdr:nvGraphicFramePr>
      <xdr:xfrm>
        <a:off x="2574290" y="333375"/>
        <a:ext cx="5181600" cy="2457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52387</xdr:colOff>
      <xdr:row>2</xdr:row>
      <xdr:rowOff>4762</xdr:rowOff>
    </xdr:from>
    <xdr:to>
      <xdr:col>18</xdr:col>
      <xdr:colOff>357187</xdr:colOff>
      <xdr:row>16</xdr:row>
      <xdr:rowOff>80962</xdr:rowOff>
    </xdr:to>
    <xdr:graphicFrame>
      <xdr:nvGraphicFramePr>
        <xdr:cNvPr id="3" name="Chart 2"/>
        <xdr:cNvGraphicFramePr/>
      </xdr:nvGraphicFramePr>
      <xdr:xfrm>
        <a:off x="8194040" y="347345"/>
        <a:ext cx="5105400" cy="2476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600075</xdr:colOff>
      <xdr:row>1</xdr:row>
      <xdr:rowOff>33337</xdr:rowOff>
    </xdr:from>
    <xdr:to>
      <xdr:col>10</xdr:col>
      <xdr:colOff>295275</xdr:colOff>
      <xdr:row>15</xdr:row>
      <xdr:rowOff>109537</xdr:rowOff>
    </xdr:to>
    <xdr:graphicFrame>
      <xdr:nvGraphicFramePr>
        <xdr:cNvPr id="2" name="Chart 1"/>
        <xdr:cNvGraphicFramePr/>
      </xdr:nvGraphicFramePr>
      <xdr:xfrm>
        <a:off x="2569845" y="204470"/>
        <a:ext cx="5181600" cy="2476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590549</xdr:colOff>
      <xdr:row>5</xdr:row>
      <xdr:rowOff>0</xdr:rowOff>
    </xdr:from>
    <xdr:to>
      <xdr:col>13</xdr:col>
      <xdr:colOff>123824</xdr:colOff>
      <xdr:row>18</xdr:row>
      <xdr:rowOff>104775</xdr:rowOff>
    </xdr:to>
    <xdr:graphicFrame>
      <xdr:nvGraphicFramePr>
        <xdr:cNvPr id="2" name="Chart 1"/>
        <xdr:cNvGraphicFramePr/>
      </xdr:nvGraphicFramePr>
      <xdr:xfrm>
        <a:off x="4704715" y="857250"/>
        <a:ext cx="4453255" cy="23526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5</xdr:row>
      <xdr:rowOff>0</xdr:rowOff>
    </xdr:from>
    <xdr:to>
      <xdr:col>6</xdr:col>
      <xdr:colOff>9525</xdr:colOff>
      <xdr:row>18</xdr:row>
      <xdr:rowOff>9525</xdr:rowOff>
    </xdr:to>
    <xdr:graphicFrame>
      <xdr:nvGraphicFramePr>
        <xdr:cNvPr id="4" name="Chart 3"/>
        <xdr:cNvGraphicFramePr/>
      </xdr:nvGraphicFramePr>
      <xdr:xfrm>
        <a:off x="0" y="857250"/>
        <a:ext cx="4124325" cy="22574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104775</xdr:colOff>
      <xdr:row>7</xdr:row>
      <xdr:rowOff>37465</xdr:rowOff>
    </xdr:from>
    <xdr:to>
      <xdr:col>17</xdr:col>
      <xdr:colOff>475615</xdr:colOff>
      <xdr:row>18</xdr:row>
      <xdr:rowOff>27940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825355" y="1256665"/>
              <a:ext cx="2569845" cy="1876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11</xdr:col>
      <xdr:colOff>485775</xdr:colOff>
      <xdr:row>19</xdr:row>
      <xdr:rowOff>38100</xdr:rowOff>
    </xdr:from>
    <xdr:to>
      <xdr:col>17</xdr:col>
      <xdr:colOff>476250</xdr:colOff>
      <xdr:row>28</xdr:row>
      <xdr:rowOff>120650</xdr:rowOff>
    </xdr:to>
    <xdr:graphicFrame>
      <xdr:nvGraphicFramePr>
        <xdr:cNvPr id="6" name="Chart 5"/>
        <xdr:cNvGraphicFramePr/>
      </xdr:nvGraphicFramePr>
      <xdr:xfrm>
        <a:off x="8148955" y="3314700"/>
        <a:ext cx="4246880" cy="2266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6301.0932458333" refreshedBy="SINGH Rajnikant" recordCount="100">
  <cacheSource type="worksheet">
    <worksheetSource name="Table1"/>
  </cacheSource>
  <cacheFields count="10">
    <cacheField name="orderid" numFmtId="49"/>
    <cacheField name="date" numFmtId="15">
      <sharedItems containsSemiMixedTypes="0" containsString="0" containsNonDate="0" containsDate="1" minDate="2026-01-02T00:00:00" maxDate="2026-04-11T00:00:00" count="100"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</sharedItems>
    </cacheField>
    <cacheField name="category" numFmtId="49">
      <sharedItems count="5">
        <s v="Skincare"/>
        <s v="Apparel"/>
        <s v="Electronics"/>
        <s v="Home"/>
        <s v="Beauty"/>
      </sharedItems>
    </cacheField>
    <cacheField name="product" numFmtId="49"/>
    <cacheField name="region" numFmtId="49">
      <sharedItems count="4">
        <s v="North"/>
        <s v="West"/>
        <s v="South"/>
        <s v="East"/>
      </sharedItems>
    </cacheField>
    <cacheField name="sales" numFmtId="0"/>
    <cacheField name="profit" numFmtId="0"/>
    <cacheField name="payementmode" numFmtId="49"/>
    <cacheField name="Days (date)" numFmtId="0" databaseField="0">
      <fieldGroup base="1">
        <rangePr groupBy="days" startDate="2026-01-02T00:00:00" endDate="2026-04-12T00:00:00" groupInterval="1"/>
        <groupItems count="368">
          <s v="&lt;1/2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4/12/2026"/>
        </groupItems>
      </fieldGroup>
    </cacheField>
    <cacheField name="Months (date)" numFmtId="0" databaseField="0">
      <fieldGroup base="1">
        <rangePr groupBy="months" startDate="2026-01-02T00:00:00" endDate="2026-04-12T00:00:00" groupInterval="1"/>
        <groupItems count="14">
          <s v="&lt;1/2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4/12/2026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ORD1001"/>
    <x v="0"/>
    <x v="0"/>
    <s v="Face Serum"/>
    <x v="0"/>
    <n v="1299"/>
    <n v="390"/>
    <s v="UPI"/>
  </r>
  <r>
    <s v="ORD1002"/>
    <x v="1"/>
    <x v="1"/>
    <s v="Cotton T-Shirt"/>
    <x v="1"/>
    <n v="799"/>
    <n v="240"/>
    <s v="Credit Card"/>
  </r>
  <r>
    <s v="ORD1003"/>
    <x v="2"/>
    <x v="2"/>
    <s v="Wireless Earbuds"/>
    <x v="2"/>
    <n v="1999"/>
    <n v="520"/>
    <s v="UPI"/>
  </r>
  <r>
    <s v="ORD1004"/>
    <x v="3"/>
    <x v="3"/>
    <s v="LED Lamp"/>
    <x v="3"/>
    <n v="899"/>
    <n v="270"/>
    <s v="Cash on Delivery"/>
  </r>
  <r>
    <s v="ORD1005"/>
    <x v="4"/>
    <x v="4"/>
    <s v="Lipstick"/>
    <x v="0"/>
    <n v="599"/>
    <n v="180"/>
    <s v="Debit Card"/>
  </r>
  <r>
    <s v="ORD1006"/>
    <x v="5"/>
    <x v="0"/>
    <s v="Moisturizer"/>
    <x v="1"/>
    <n v="749"/>
    <n v="225"/>
    <s v="UPI"/>
  </r>
  <r>
    <s v="ORD1007"/>
    <x v="6"/>
    <x v="1"/>
    <s v="Hoodie"/>
    <x v="2"/>
    <n v="1499"/>
    <n v="450"/>
    <s v="Credit Card"/>
  </r>
  <r>
    <s v="ORD1008"/>
    <x v="7"/>
    <x v="2"/>
    <s v="Smart Watch"/>
    <x v="3"/>
    <n v="2999"/>
    <n v="780"/>
    <s v="UPI"/>
  </r>
  <r>
    <s v="ORD1009"/>
    <x v="8"/>
    <x v="3"/>
    <s v="Bedsheet Set"/>
    <x v="0"/>
    <n v="1199"/>
    <n v="360"/>
    <s v="Cash on Delivery"/>
  </r>
  <r>
    <s v="ORD1010"/>
    <x v="9"/>
    <x v="4"/>
    <s v="Face Wash"/>
    <x v="1"/>
    <n v="499"/>
    <n v="150"/>
    <s v="UPI"/>
  </r>
  <r>
    <s v="ORD1011"/>
    <x v="10"/>
    <x v="0"/>
    <s v="Sunscreen"/>
    <x v="2"/>
    <n v="699"/>
    <n v="210"/>
    <s v="Debit Card"/>
  </r>
  <r>
    <s v="ORD1012"/>
    <x v="11"/>
    <x v="1"/>
    <s v="Denim Jeans"/>
    <x v="3"/>
    <n v="1799"/>
    <n v="540"/>
    <s v="Credit Card"/>
  </r>
  <r>
    <s v="ORD1013"/>
    <x v="12"/>
    <x v="2"/>
    <s v="Bluetooth Speaker"/>
    <x v="0"/>
    <n v="1599"/>
    <n v="420"/>
    <s v="UPI"/>
  </r>
  <r>
    <s v="ORD1014"/>
    <x v="13"/>
    <x v="3"/>
    <s v="Cushion Set"/>
    <x v="1"/>
    <n v="699"/>
    <n v="210"/>
    <s v="Cash on Delivery"/>
  </r>
  <r>
    <s v="ORD1015"/>
    <x v="14"/>
    <x v="4"/>
    <s v="Compact Powder"/>
    <x v="2"/>
    <n v="649"/>
    <n v="195"/>
    <s v="UPI"/>
  </r>
  <r>
    <s v="ORD1016"/>
    <x v="15"/>
    <x v="0"/>
    <s v="Body Lotion"/>
    <x v="3"/>
    <n v="549"/>
    <n v="165"/>
    <s v="Debit Card"/>
  </r>
  <r>
    <s v="ORD1017"/>
    <x v="16"/>
    <x v="1"/>
    <s v="Formal Shirt"/>
    <x v="0"/>
    <n v="999"/>
    <n v="300"/>
    <s v="Credit Card"/>
  </r>
  <r>
    <s v="ORD1018"/>
    <x v="17"/>
    <x v="2"/>
    <s v="Power Bank"/>
    <x v="1"/>
    <n v="1299"/>
    <n v="340"/>
    <s v="UPI"/>
  </r>
  <r>
    <s v="ORD1019"/>
    <x v="18"/>
    <x v="3"/>
    <s v="Wall Clock"/>
    <x v="2"/>
    <n v="799"/>
    <n v="240"/>
    <s v="Cash on Delivery"/>
  </r>
  <r>
    <s v="ORD1020"/>
    <x v="19"/>
    <x v="4"/>
    <s v="Perfume"/>
    <x v="3"/>
    <n v="1399"/>
    <n v="420"/>
    <s v="UPI"/>
  </r>
  <r>
    <s v="ORD1021"/>
    <x v="20"/>
    <x v="0"/>
    <s v="Face Serum"/>
    <x v="0"/>
    <n v="1299"/>
    <n v="390"/>
    <s v="Credit Card"/>
  </r>
  <r>
    <s v="ORD1022"/>
    <x v="21"/>
    <x v="1"/>
    <s v="Cotton T-Shirt"/>
    <x v="1"/>
    <n v="799"/>
    <n v="240"/>
    <s v="UPI"/>
  </r>
  <r>
    <s v="ORD1023"/>
    <x v="22"/>
    <x v="2"/>
    <s v="Wireless Earbuds"/>
    <x v="2"/>
    <n v="1999"/>
    <n v="520"/>
    <s v="Debit Card"/>
  </r>
  <r>
    <s v="ORD1024"/>
    <x v="23"/>
    <x v="3"/>
    <s v="LED Lamp"/>
    <x v="3"/>
    <n v="899"/>
    <n v="270"/>
    <s v="UPI"/>
  </r>
  <r>
    <s v="ORD1025"/>
    <x v="24"/>
    <x v="4"/>
    <s v="Lipstick"/>
    <x v="0"/>
    <n v="599"/>
    <n v="180"/>
    <s v="Cash on Delivery"/>
  </r>
  <r>
    <s v="ORD1026"/>
    <x v="25"/>
    <x v="0"/>
    <s v="Moisturizer"/>
    <x v="1"/>
    <n v="749"/>
    <n v="225"/>
    <s v="UPI"/>
  </r>
  <r>
    <s v="ORD1027"/>
    <x v="26"/>
    <x v="1"/>
    <s v="Hoodie"/>
    <x v="2"/>
    <n v="1499"/>
    <n v="450"/>
    <s v="Credit Card"/>
  </r>
  <r>
    <s v="ORD1028"/>
    <x v="27"/>
    <x v="2"/>
    <s v="Smart Watch"/>
    <x v="3"/>
    <n v="2999"/>
    <n v="780"/>
    <s v="UPI"/>
  </r>
  <r>
    <s v="ORD1029"/>
    <x v="28"/>
    <x v="3"/>
    <s v="Bedsheet Set"/>
    <x v="0"/>
    <n v="1199"/>
    <n v="360"/>
    <s v="Debit Card"/>
  </r>
  <r>
    <s v="ORD1030"/>
    <x v="29"/>
    <x v="4"/>
    <s v="Face Wash"/>
    <x v="1"/>
    <n v="499"/>
    <n v="150"/>
    <s v="Cash on Delivery"/>
  </r>
  <r>
    <s v="ORD1031"/>
    <x v="30"/>
    <x v="0"/>
    <s v="Sunscreen"/>
    <x v="2"/>
    <n v="699"/>
    <n v="210"/>
    <s v="UPI"/>
  </r>
  <r>
    <s v="ORD1032"/>
    <x v="31"/>
    <x v="1"/>
    <s v="Denim Jeans"/>
    <x v="3"/>
    <n v="1799"/>
    <n v="540"/>
    <s v="Credit Card"/>
  </r>
  <r>
    <s v="ORD1033"/>
    <x v="32"/>
    <x v="2"/>
    <s v="Bluetooth Speaker"/>
    <x v="0"/>
    <n v="1599"/>
    <n v="420"/>
    <s v="UPI"/>
  </r>
  <r>
    <s v="ORD1034"/>
    <x v="33"/>
    <x v="3"/>
    <s v="Cushion Set"/>
    <x v="1"/>
    <n v="699"/>
    <n v="210"/>
    <s v="Cash on Delivery"/>
  </r>
  <r>
    <s v="ORD1035"/>
    <x v="34"/>
    <x v="4"/>
    <s v="Compact Powder"/>
    <x v="2"/>
    <n v="649"/>
    <n v="195"/>
    <s v="Debit Card"/>
  </r>
  <r>
    <s v="ORD1036"/>
    <x v="35"/>
    <x v="0"/>
    <s v="Body Lotion"/>
    <x v="3"/>
    <n v="549"/>
    <n v="165"/>
    <s v="UPI"/>
  </r>
  <r>
    <s v="ORD1037"/>
    <x v="36"/>
    <x v="1"/>
    <s v="Formal Shirt"/>
    <x v="0"/>
    <n v="999"/>
    <n v="300"/>
    <s v="Credit Card"/>
  </r>
  <r>
    <s v="ORD1038"/>
    <x v="37"/>
    <x v="2"/>
    <s v="Power Bank"/>
    <x v="1"/>
    <n v="1299"/>
    <n v="340"/>
    <s v="UPI"/>
  </r>
  <r>
    <s v="ORD1039"/>
    <x v="38"/>
    <x v="3"/>
    <s v="Wall Clock"/>
    <x v="2"/>
    <n v="799"/>
    <n v="240"/>
    <s v="Cash on Delivery"/>
  </r>
  <r>
    <s v="ORD1040"/>
    <x v="39"/>
    <x v="4"/>
    <s v="Perfume"/>
    <x v="3"/>
    <n v="1399"/>
    <n v="420"/>
    <s v="UPI"/>
  </r>
  <r>
    <s v="ORD1041"/>
    <x v="40"/>
    <x v="0"/>
    <s v="Face Serum"/>
    <x v="0"/>
    <n v="1299"/>
    <n v="390"/>
    <s v="Debit Card"/>
  </r>
  <r>
    <s v="ORD1042"/>
    <x v="41"/>
    <x v="1"/>
    <s v="Cotton T-Shirt"/>
    <x v="1"/>
    <n v="799"/>
    <n v="240"/>
    <s v="UPI"/>
  </r>
  <r>
    <s v="ORD1043"/>
    <x v="42"/>
    <x v="2"/>
    <s v="Wireless Earbuds"/>
    <x v="2"/>
    <n v="1999"/>
    <n v="520"/>
    <s v="Credit Card"/>
  </r>
  <r>
    <s v="ORD1044"/>
    <x v="43"/>
    <x v="3"/>
    <s v="LED Lamp"/>
    <x v="3"/>
    <n v="899"/>
    <n v="270"/>
    <s v="UPI"/>
  </r>
  <r>
    <s v="ORD1045"/>
    <x v="44"/>
    <x v="4"/>
    <s v="Lipstick"/>
    <x v="0"/>
    <n v="599"/>
    <n v="180"/>
    <s v="Cash on Delivery"/>
  </r>
  <r>
    <s v="ORD1046"/>
    <x v="45"/>
    <x v="0"/>
    <s v="Moisturizer"/>
    <x v="1"/>
    <n v="749"/>
    <n v="225"/>
    <s v="Debit Card"/>
  </r>
  <r>
    <s v="ORD1047"/>
    <x v="46"/>
    <x v="1"/>
    <s v="Hoodie"/>
    <x v="2"/>
    <n v="1499"/>
    <n v="450"/>
    <s v="UPI"/>
  </r>
  <r>
    <s v="ORD1048"/>
    <x v="47"/>
    <x v="2"/>
    <s v="Smart Watch"/>
    <x v="3"/>
    <n v="2999"/>
    <n v="780"/>
    <s v="Credit Card"/>
  </r>
  <r>
    <s v="ORD1049"/>
    <x v="48"/>
    <x v="3"/>
    <s v="Bedsheet Set"/>
    <x v="0"/>
    <n v="1199"/>
    <n v="360"/>
    <s v="UPI"/>
  </r>
  <r>
    <s v="ORD1050"/>
    <x v="49"/>
    <x v="4"/>
    <s v="Face Wash"/>
    <x v="1"/>
    <n v="499"/>
    <n v="150"/>
    <s v="Cash on Delivery"/>
  </r>
  <r>
    <s v="ORD1051"/>
    <x v="50"/>
    <x v="0"/>
    <s v="Sunscreen"/>
    <x v="2"/>
    <n v="699"/>
    <n v="210"/>
    <s v="UPI"/>
  </r>
  <r>
    <s v="ORD1052"/>
    <x v="51"/>
    <x v="1"/>
    <s v="Denim Jeans"/>
    <x v="3"/>
    <n v="1799"/>
    <n v="540"/>
    <s v="Debit Card"/>
  </r>
  <r>
    <s v="ORD1053"/>
    <x v="52"/>
    <x v="2"/>
    <s v="Bluetooth Speaker"/>
    <x v="0"/>
    <n v="1599"/>
    <n v="420"/>
    <s v="Credit Card"/>
  </r>
  <r>
    <s v="ORD1054"/>
    <x v="53"/>
    <x v="3"/>
    <s v="Cushion Set"/>
    <x v="1"/>
    <n v="699"/>
    <n v="210"/>
    <s v="UPI"/>
  </r>
  <r>
    <s v="ORD1055"/>
    <x v="54"/>
    <x v="4"/>
    <s v="Compact Powder"/>
    <x v="2"/>
    <n v="649"/>
    <n v="195"/>
    <s v="Cash on Delivery"/>
  </r>
  <r>
    <s v="ORD1056"/>
    <x v="55"/>
    <x v="0"/>
    <s v="Body Lotion"/>
    <x v="3"/>
    <n v="549"/>
    <n v="165"/>
    <s v="UPI"/>
  </r>
  <r>
    <s v="ORD1057"/>
    <x v="56"/>
    <x v="1"/>
    <s v="Formal Shirt"/>
    <x v="0"/>
    <n v="999"/>
    <n v="300"/>
    <s v="Debit Card"/>
  </r>
  <r>
    <s v="ORD1058"/>
    <x v="57"/>
    <x v="2"/>
    <s v="Power Bank"/>
    <x v="1"/>
    <n v="1299"/>
    <n v="340"/>
    <s v="UPI"/>
  </r>
  <r>
    <s v="ORD1059"/>
    <x v="58"/>
    <x v="3"/>
    <s v="Wall Clock"/>
    <x v="2"/>
    <n v="799"/>
    <n v="240"/>
    <s v="Credit Card"/>
  </r>
  <r>
    <s v="ORD1060"/>
    <x v="59"/>
    <x v="4"/>
    <s v="Perfume"/>
    <x v="3"/>
    <n v="1399"/>
    <n v="420"/>
    <s v="UPI"/>
  </r>
  <r>
    <s v="ORD1061"/>
    <x v="60"/>
    <x v="0"/>
    <s v="Face Serum"/>
    <x v="0"/>
    <n v="1299"/>
    <n v="390"/>
    <s v="Cash on Delivery"/>
  </r>
  <r>
    <s v="ORD1062"/>
    <x v="61"/>
    <x v="1"/>
    <s v="Cotton T-Shirt"/>
    <x v="1"/>
    <n v="799"/>
    <n v="240"/>
    <s v="UPI"/>
  </r>
  <r>
    <s v="ORD1063"/>
    <x v="62"/>
    <x v="2"/>
    <s v="Wireless Earbuds"/>
    <x v="2"/>
    <n v="1999"/>
    <n v="520"/>
    <s v="Debit Card"/>
  </r>
  <r>
    <s v="ORD1064"/>
    <x v="63"/>
    <x v="3"/>
    <s v="LED Lamp"/>
    <x v="3"/>
    <n v="899"/>
    <n v="270"/>
    <s v="UPI"/>
  </r>
  <r>
    <s v="ORD1065"/>
    <x v="64"/>
    <x v="4"/>
    <s v="Lipstick"/>
    <x v="0"/>
    <n v="599"/>
    <n v="180"/>
    <s v="Credit Card"/>
  </r>
  <r>
    <s v="ORD1066"/>
    <x v="65"/>
    <x v="0"/>
    <s v="Moisturizer"/>
    <x v="1"/>
    <n v="749"/>
    <n v="225"/>
    <s v="UPI"/>
  </r>
  <r>
    <s v="ORD1067"/>
    <x v="66"/>
    <x v="1"/>
    <s v="Hoodie"/>
    <x v="2"/>
    <n v="1499"/>
    <n v="450"/>
    <s v="Cash on Delivery"/>
  </r>
  <r>
    <s v="ORD1068"/>
    <x v="67"/>
    <x v="2"/>
    <s v="Smart Watch"/>
    <x v="3"/>
    <n v="2999"/>
    <n v="780"/>
    <s v="UPI"/>
  </r>
  <r>
    <s v="ORD1069"/>
    <x v="68"/>
    <x v="3"/>
    <s v="Bedsheet Set"/>
    <x v="0"/>
    <n v="1199"/>
    <n v="360"/>
    <s v="Debit Card"/>
  </r>
  <r>
    <s v="ORD1070"/>
    <x v="69"/>
    <x v="4"/>
    <s v="Face Wash"/>
    <x v="1"/>
    <n v="499"/>
    <n v="150"/>
    <s v="UPI"/>
  </r>
  <r>
    <s v="ORD1071"/>
    <x v="70"/>
    <x v="0"/>
    <s v="Sunscreen"/>
    <x v="2"/>
    <n v="699"/>
    <n v="210"/>
    <s v="Credit Card"/>
  </r>
  <r>
    <s v="ORD1072"/>
    <x v="71"/>
    <x v="1"/>
    <s v="Denim Jeans"/>
    <x v="3"/>
    <n v="1799"/>
    <n v="540"/>
    <s v="UPI"/>
  </r>
  <r>
    <s v="ORD1073"/>
    <x v="72"/>
    <x v="2"/>
    <s v="Bluetooth Speaker"/>
    <x v="0"/>
    <n v="1599"/>
    <n v="420"/>
    <s v="Cash on Delivery"/>
  </r>
  <r>
    <s v="ORD1074"/>
    <x v="73"/>
    <x v="3"/>
    <s v="Cushion Set"/>
    <x v="1"/>
    <n v="699"/>
    <n v="210"/>
    <s v="UPI"/>
  </r>
  <r>
    <s v="ORD1075"/>
    <x v="74"/>
    <x v="4"/>
    <s v="Compact Powder"/>
    <x v="2"/>
    <n v="649"/>
    <n v="195"/>
    <s v="Debit Card"/>
  </r>
  <r>
    <s v="ORD1076"/>
    <x v="75"/>
    <x v="0"/>
    <s v="Body Lotion"/>
    <x v="3"/>
    <n v="549"/>
    <n v="165"/>
    <s v="UPI"/>
  </r>
  <r>
    <s v="ORD1077"/>
    <x v="76"/>
    <x v="1"/>
    <s v="Formal Shirt"/>
    <x v="0"/>
    <n v="999"/>
    <n v="300"/>
    <s v="Credit Card"/>
  </r>
  <r>
    <s v="ORD1078"/>
    <x v="77"/>
    <x v="2"/>
    <s v="Power Bank"/>
    <x v="1"/>
    <n v="1299"/>
    <n v="340"/>
    <s v="UPI"/>
  </r>
  <r>
    <s v="ORD1079"/>
    <x v="78"/>
    <x v="3"/>
    <s v="Wall Clock"/>
    <x v="2"/>
    <n v="799"/>
    <n v="240"/>
    <s v="Cash on Delivery"/>
  </r>
  <r>
    <s v="ORD1080"/>
    <x v="79"/>
    <x v="4"/>
    <s v="Perfume"/>
    <x v="3"/>
    <n v="1399"/>
    <n v="420"/>
    <s v="UPI"/>
  </r>
  <r>
    <s v="ORD1081"/>
    <x v="80"/>
    <x v="0"/>
    <s v="Face Serum"/>
    <x v="0"/>
    <n v="1299"/>
    <n v="390"/>
    <s v="Debit Card"/>
  </r>
  <r>
    <s v="ORD1082"/>
    <x v="81"/>
    <x v="1"/>
    <s v="Cotton T-Shirt"/>
    <x v="1"/>
    <n v="799"/>
    <n v="240"/>
    <s v="UPI"/>
  </r>
  <r>
    <s v="ORD1083"/>
    <x v="82"/>
    <x v="2"/>
    <s v="Wireless Earbuds"/>
    <x v="2"/>
    <n v="1999"/>
    <n v="520"/>
    <s v="Credit Card"/>
  </r>
  <r>
    <s v="ORD1084"/>
    <x v="83"/>
    <x v="3"/>
    <s v="LED Lamp"/>
    <x v="3"/>
    <n v="899"/>
    <n v="270"/>
    <s v="UPI"/>
  </r>
  <r>
    <s v="ORD1085"/>
    <x v="84"/>
    <x v="4"/>
    <s v="Lipstick"/>
    <x v="0"/>
    <n v="599"/>
    <n v="180"/>
    <s v="Cash on Delivery"/>
  </r>
  <r>
    <s v="ORD1086"/>
    <x v="85"/>
    <x v="0"/>
    <s v="Moisturizer"/>
    <x v="1"/>
    <n v="749"/>
    <n v="225"/>
    <s v="UPI"/>
  </r>
  <r>
    <s v="ORD1087"/>
    <x v="86"/>
    <x v="1"/>
    <s v="Hoodie"/>
    <x v="2"/>
    <n v="1499"/>
    <n v="450"/>
    <s v="Debit Card"/>
  </r>
  <r>
    <s v="ORD1088"/>
    <x v="87"/>
    <x v="2"/>
    <s v="Smart Watch"/>
    <x v="3"/>
    <n v="2999"/>
    <n v="780"/>
    <s v="UPI"/>
  </r>
  <r>
    <s v="ORD1089"/>
    <x v="88"/>
    <x v="3"/>
    <s v="Bedsheet Set"/>
    <x v="0"/>
    <n v="1199"/>
    <n v="360"/>
    <s v="Credit Card"/>
  </r>
  <r>
    <s v="ORD1090"/>
    <x v="89"/>
    <x v="4"/>
    <s v="Face Wash"/>
    <x v="1"/>
    <n v="499"/>
    <n v="150"/>
    <s v="UPI"/>
  </r>
  <r>
    <s v="ORD1091"/>
    <x v="90"/>
    <x v="0"/>
    <s v="Sunscreen"/>
    <x v="2"/>
    <n v="699"/>
    <n v="210"/>
    <s v="Cash on Delivery"/>
  </r>
  <r>
    <s v="ORD1092"/>
    <x v="91"/>
    <x v="1"/>
    <s v="Denim Jeans"/>
    <x v="3"/>
    <n v="1799"/>
    <n v="540"/>
    <s v="UPI"/>
  </r>
  <r>
    <s v="ORD1093"/>
    <x v="92"/>
    <x v="2"/>
    <s v="Bluetooth Speaker"/>
    <x v="0"/>
    <n v="1599"/>
    <n v="420"/>
    <s v="Debit Card"/>
  </r>
  <r>
    <s v="ORD1094"/>
    <x v="93"/>
    <x v="3"/>
    <s v="Cushion Set"/>
    <x v="1"/>
    <n v="699"/>
    <n v="210"/>
    <s v="UPI"/>
  </r>
  <r>
    <s v="ORD1095"/>
    <x v="94"/>
    <x v="4"/>
    <s v="Compact Powder"/>
    <x v="2"/>
    <n v="649"/>
    <n v="195"/>
    <s v="Credit Card"/>
  </r>
  <r>
    <s v="ORD1096"/>
    <x v="95"/>
    <x v="0"/>
    <s v="Body Lotion"/>
    <x v="3"/>
    <n v="549"/>
    <n v="165"/>
    <s v="UPI"/>
  </r>
  <r>
    <s v="ORD1097"/>
    <x v="96"/>
    <x v="1"/>
    <s v="Formal Shirt"/>
    <x v="0"/>
    <n v="999"/>
    <n v="300"/>
    <s v="Cash on Delivery"/>
  </r>
  <r>
    <s v="ORD1098"/>
    <x v="97"/>
    <x v="2"/>
    <s v="Power Bank"/>
    <x v="1"/>
    <n v="1299"/>
    <n v="340"/>
    <s v="UPI"/>
  </r>
  <r>
    <s v="ORD1099"/>
    <x v="98"/>
    <x v="3"/>
    <s v="Wall Clock"/>
    <x v="2"/>
    <n v="799"/>
    <n v="240"/>
    <s v="Debit Card"/>
  </r>
  <r>
    <s v="ORD1100"/>
    <x v="99"/>
    <x v="4"/>
    <s v="Perfume"/>
    <x v="3"/>
    <n v="1399"/>
    <n v="420"/>
    <s v="UPI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5">
  <location ref="A3:B8" firstHeaderRow="1" firstDataRow="1" firstDataCol="1"/>
  <pivotFields count="10">
    <pivotField showAll="0"/>
    <pivotField numFmtId="15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>
      <items count="6">
        <item x="1"/>
        <item x="4"/>
        <item x="2"/>
        <item x="3"/>
        <item x="0"/>
        <item t="default"/>
      </items>
    </pivotField>
    <pivotField showAll="0"/>
    <pivotField axis="axisRow" showAll="0">
      <items count="5">
        <item x="3"/>
        <item x="0"/>
        <item x="2"/>
        <item x="1"/>
        <item t="default"/>
      </items>
    </pivotField>
    <pivotField dataField="1"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5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8">
  <location ref="A3:B9" firstHeaderRow="1" firstDataRow="1" firstDataCol="1"/>
  <pivotFields count="10">
    <pivotField showAll="0"/>
    <pivotField numFmtId="15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axis="axisRow" showAll="0">
      <items count="6">
        <item x="1"/>
        <item x="4"/>
        <item x="2"/>
        <item x="3"/>
        <item x="0"/>
        <item t="default"/>
      </items>
    </pivotField>
    <pivotField showAll="0"/>
    <pivotField showAll="0"/>
    <pivotField dataField="1"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5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6">
  <location ref="A3:B8" firstHeaderRow="1" firstDataRow="1" firstDataCol="1"/>
  <pivotFields count="10">
    <pivotField showAll="0"/>
    <pivotField axis="axisRow" numFmtId="15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>
      <items count="6">
        <item x="1"/>
        <item x="4"/>
        <item x="2"/>
        <item x="3"/>
        <item x="0"/>
        <item t="default"/>
      </items>
    </pivotField>
    <pivotField showAll="0"/>
    <pivotField showAll="0"/>
    <pivotField dataField="1"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9"/>
    <field x="8"/>
    <field x="1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5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" sourceName="category">
  <pivotTables>
    <pivotTable tabId="3" name="PivotTable2"/>
    <pivotTable tabId="4" name="PivotTable3"/>
    <pivotTable tabId="2" name="PivotTable1"/>
  </pivotTables>
  <data>
    <tabular pivotCacheId="1">
      <items count="5">
        <i x="1" s="1"/>
        <i x="4" s="1"/>
        <i x="2" s="1"/>
        <i x="3" s="1"/>
        <i x="0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ategory" cache="Slicer_category" caption="category" rowHeight="257175"/>
</slicers>
</file>

<file path=xl/tables/table1.xml><?xml version="1.0" encoding="utf-8"?>
<table xmlns="http://schemas.openxmlformats.org/spreadsheetml/2006/main" id="1" name="Table1" displayName="Table1" ref="A1:H101" totalsRowShown="0">
  <autoFilter xmlns:etc="http://www.wps.cn/officeDocument/2017/etCustomData" ref="A1:H101" etc:filterBottomFollowUsedRange="0"/>
  <tableColumns count="8">
    <tableColumn id="1" name="orderid" dataDxfId="0"/>
    <tableColumn id="2" name="date" dataDxfId="1"/>
    <tableColumn id="3" name="category" dataDxfId="2"/>
    <tableColumn id="4" name="product" dataDxfId="3"/>
    <tableColumn id="5" name="region" dataDxfId="4"/>
    <tableColumn id="6" name="sales" dataDxfId="5"/>
    <tableColumn id="7" name="profit" dataDxfId="6"/>
    <tableColumn id="8" name="payementmode" dataDxf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1"/>
  <sheetViews>
    <sheetView topLeftCell="A16" workbookViewId="0">
      <selection activeCell="K18" sqref="K18"/>
    </sheetView>
  </sheetViews>
  <sheetFormatPr defaultColWidth="9" defaultRowHeight="13.5" outlineLevelCol="7"/>
  <cols>
    <col min="1" max="1" width="9.70833333333333" customWidth="1"/>
    <col min="2" max="2" width="9.85833333333333" customWidth="1"/>
    <col min="3" max="3" width="10.8583333333333" customWidth="1"/>
    <col min="4" max="4" width="10.1416666666667" customWidth="1"/>
    <col min="8" max="8" width="17.2833333333333" customWidth="1"/>
  </cols>
  <sheetData>
    <row r="1" spans="1:8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</row>
    <row r="2" spans="1:8">
      <c r="A2" s="19" t="s">
        <v>8</v>
      </c>
      <c r="B2" s="20">
        <v>46024</v>
      </c>
      <c r="C2" s="19" t="s">
        <v>9</v>
      </c>
      <c r="D2" s="19" t="s">
        <v>10</v>
      </c>
      <c r="E2" s="19" t="s">
        <v>11</v>
      </c>
      <c r="F2" s="18">
        <v>1299</v>
      </c>
      <c r="G2" s="18">
        <v>390</v>
      </c>
      <c r="H2" s="19" t="s">
        <v>12</v>
      </c>
    </row>
    <row r="3" spans="1:8">
      <c r="A3" s="19" t="s">
        <v>13</v>
      </c>
      <c r="B3" s="20">
        <v>46025</v>
      </c>
      <c r="C3" s="19" t="s">
        <v>14</v>
      </c>
      <c r="D3" s="19" t="s">
        <v>15</v>
      </c>
      <c r="E3" s="19" t="s">
        <v>16</v>
      </c>
      <c r="F3" s="18">
        <v>799</v>
      </c>
      <c r="G3" s="18">
        <v>240</v>
      </c>
      <c r="H3" s="19" t="s">
        <v>17</v>
      </c>
    </row>
    <row r="4" spans="1:8">
      <c r="A4" s="19" t="s">
        <v>18</v>
      </c>
      <c r="B4" s="20">
        <v>46026</v>
      </c>
      <c r="C4" s="19" t="s">
        <v>19</v>
      </c>
      <c r="D4" s="19" t="s">
        <v>20</v>
      </c>
      <c r="E4" s="19" t="s">
        <v>21</v>
      </c>
      <c r="F4" s="18">
        <v>1999</v>
      </c>
      <c r="G4" s="18">
        <v>520</v>
      </c>
      <c r="H4" s="19" t="s">
        <v>12</v>
      </c>
    </row>
    <row r="5" spans="1:8">
      <c r="A5" s="19" t="s">
        <v>22</v>
      </c>
      <c r="B5" s="20">
        <v>46027</v>
      </c>
      <c r="C5" s="19" t="s">
        <v>23</v>
      </c>
      <c r="D5" s="19" t="s">
        <v>24</v>
      </c>
      <c r="E5" s="19" t="s">
        <v>25</v>
      </c>
      <c r="F5" s="18">
        <v>899</v>
      </c>
      <c r="G5" s="18">
        <v>270</v>
      </c>
      <c r="H5" s="19" t="s">
        <v>26</v>
      </c>
    </row>
    <row r="6" spans="1:8">
      <c r="A6" s="19" t="s">
        <v>27</v>
      </c>
      <c r="B6" s="20">
        <v>46028</v>
      </c>
      <c r="C6" s="19" t="s">
        <v>28</v>
      </c>
      <c r="D6" s="19" t="s">
        <v>29</v>
      </c>
      <c r="E6" s="19" t="s">
        <v>11</v>
      </c>
      <c r="F6" s="18">
        <v>599</v>
      </c>
      <c r="G6" s="18">
        <v>180</v>
      </c>
      <c r="H6" s="19" t="s">
        <v>30</v>
      </c>
    </row>
    <row r="7" spans="1:8">
      <c r="A7" s="19" t="s">
        <v>31</v>
      </c>
      <c r="B7" s="20">
        <v>46029</v>
      </c>
      <c r="C7" s="19" t="s">
        <v>9</v>
      </c>
      <c r="D7" s="19" t="s">
        <v>32</v>
      </c>
      <c r="E7" s="19" t="s">
        <v>16</v>
      </c>
      <c r="F7" s="18">
        <v>749</v>
      </c>
      <c r="G7" s="18">
        <v>225</v>
      </c>
      <c r="H7" s="19" t="s">
        <v>12</v>
      </c>
    </row>
    <row r="8" spans="1:8">
      <c r="A8" s="19" t="s">
        <v>33</v>
      </c>
      <c r="B8" s="20">
        <v>46030</v>
      </c>
      <c r="C8" s="19" t="s">
        <v>14</v>
      </c>
      <c r="D8" s="19" t="s">
        <v>34</v>
      </c>
      <c r="E8" s="19" t="s">
        <v>21</v>
      </c>
      <c r="F8" s="18">
        <v>1499</v>
      </c>
      <c r="G8" s="18">
        <v>450</v>
      </c>
      <c r="H8" s="19" t="s">
        <v>17</v>
      </c>
    </row>
    <row r="9" spans="1:8">
      <c r="A9" s="19" t="s">
        <v>35</v>
      </c>
      <c r="B9" s="20">
        <v>46031</v>
      </c>
      <c r="C9" s="19" t="s">
        <v>19</v>
      </c>
      <c r="D9" s="19" t="s">
        <v>36</v>
      </c>
      <c r="E9" s="19" t="s">
        <v>25</v>
      </c>
      <c r="F9" s="18">
        <v>2999</v>
      </c>
      <c r="G9" s="18">
        <v>780</v>
      </c>
      <c r="H9" s="19" t="s">
        <v>12</v>
      </c>
    </row>
    <row r="10" spans="1:8">
      <c r="A10" s="19" t="s">
        <v>37</v>
      </c>
      <c r="B10" s="20">
        <v>46032</v>
      </c>
      <c r="C10" s="19" t="s">
        <v>23</v>
      </c>
      <c r="D10" s="19" t="s">
        <v>38</v>
      </c>
      <c r="E10" s="19" t="s">
        <v>11</v>
      </c>
      <c r="F10" s="18">
        <v>1199</v>
      </c>
      <c r="G10" s="18">
        <v>360</v>
      </c>
      <c r="H10" s="19" t="s">
        <v>26</v>
      </c>
    </row>
    <row r="11" spans="1:8">
      <c r="A11" s="19" t="s">
        <v>39</v>
      </c>
      <c r="B11" s="20">
        <v>46033</v>
      </c>
      <c r="C11" s="19" t="s">
        <v>28</v>
      </c>
      <c r="D11" s="19" t="s">
        <v>40</v>
      </c>
      <c r="E11" s="19" t="s">
        <v>16</v>
      </c>
      <c r="F11" s="18">
        <v>499</v>
      </c>
      <c r="G11" s="18">
        <v>150</v>
      </c>
      <c r="H11" s="19" t="s">
        <v>12</v>
      </c>
    </row>
    <row r="12" spans="1:8">
      <c r="A12" s="19" t="s">
        <v>41</v>
      </c>
      <c r="B12" s="20">
        <v>46034</v>
      </c>
      <c r="C12" s="19" t="s">
        <v>9</v>
      </c>
      <c r="D12" s="19" t="s">
        <v>42</v>
      </c>
      <c r="E12" s="19" t="s">
        <v>21</v>
      </c>
      <c r="F12" s="18">
        <v>699</v>
      </c>
      <c r="G12" s="18">
        <v>210</v>
      </c>
      <c r="H12" s="19" t="s">
        <v>30</v>
      </c>
    </row>
    <row r="13" spans="1:8">
      <c r="A13" s="19" t="s">
        <v>43</v>
      </c>
      <c r="B13" s="20">
        <v>46035</v>
      </c>
      <c r="C13" s="19" t="s">
        <v>14</v>
      </c>
      <c r="D13" s="19" t="s">
        <v>44</v>
      </c>
      <c r="E13" s="19" t="s">
        <v>25</v>
      </c>
      <c r="F13" s="18">
        <v>1799</v>
      </c>
      <c r="G13" s="18">
        <v>540</v>
      </c>
      <c r="H13" s="19" t="s">
        <v>17</v>
      </c>
    </row>
    <row r="14" spans="1:8">
      <c r="A14" s="19" t="s">
        <v>45</v>
      </c>
      <c r="B14" s="20">
        <v>46036</v>
      </c>
      <c r="C14" s="19" t="s">
        <v>19</v>
      </c>
      <c r="D14" s="19" t="s">
        <v>46</v>
      </c>
      <c r="E14" s="19" t="s">
        <v>11</v>
      </c>
      <c r="F14" s="18">
        <v>1599</v>
      </c>
      <c r="G14" s="18">
        <v>420</v>
      </c>
      <c r="H14" s="19" t="s">
        <v>12</v>
      </c>
    </row>
    <row r="15" spans="1:8">
      <c r="A15" s="19" t="s">
        <v>47</v>
      </c>
      <c r="B15" s="20">
        <v>46037</v>
      </c>
      <c r="C15" s="19" t="s">
        <v>23</v>
      </c>
      <c r="D15" s="19" t="s">
        <v>48</v>
      </c>
      <c r="E15" s="19" t="s">
        <v>16</v>
      </c>
      <c r="F15" s="18">
        <v>699</v>
      </c>
      <c r="G15" s="18">
        <v>210</v>
      </c>
      <c r="H15" s="19" t="s">
        <v>26</v>
      </c>
    </row>
    <row r="16" spans="1:8">
      <c r="A16" s="19" t="s">
        <v>49</v>
      </c>
      <c r="B16" s="20">
        <v>46038</v>
      </c>
      <c r="C16" s="19" t="s">
        <v>28</v>
      </c>
      <c r="D16" s="19" t="s">
        <v>50</v>
      </c>
      <c r="E16" s="19" t="s">
        <v>21</v>
      </c>
      <c r="F16" s="18">
        <v>649</v>
      </c>
      <c r="G16" s="18">
        <v>195</v>
      </c>
      <c r="H16" s="19" t="s">
        <v>12</v>
      </c>
    </row>
    <row r="17" spans="1:8">
      <c r="A17" s="19" t="s">
        <v>51</v>
      </c>
      <c r="B17" s="20">
        <v>46039</v>
      </c>
      <c r="C17" s="19" t="s">
        <v>9</v>
      </c>
      <c r="D17" s="19" t="s">
        <v>52</v>
      </c>
      <c r="E17" s="19" t="s">
        <v>25</v>
      </c>
      <c r="F17" s="18">
        <v>549</v>
      </c>
      <c r="G17" s="18">
        <v>165</v>
      </c>
      <c r="H17" s="19" t="s">
        <v>30</v>
      </c>
    </row>
    <row r="18" spans="1:8">
      <c r="A18" s="19" t="s">
        <v>53</v>
      </c>
      <c r="B18" s="20">
        <v>46040</v>
      </c>
      <c r="C18" s="19" t="s">
        <v>14</v>
      </c>
      <c r="D18" s="19" t="s">
        <v>54</v>
      </c>
      <c r="E18" s="19" t="s">
        <v>11</v>
      </c>
      <c r="F18" s="18">
        <v>999</v>
      </c>
      <c r="G18" s="18">
        <v>300</v>
      </c>
      <c r="H18" s="19" t="s">
        <v>17</v>
      </c>
    </row>
    <row r="19" spans="1:8">
      <c r="A19" s="19" t="s">
        <v>55</v>
      </c>
      <c r="B19" s="20">
        <v>46041</v>
      </c>
      <c r="C19" s="19" t="s">
        <v>19</v>
      </c>
      <c r="D19" s="19" t="s">
        <v>56</v>
      </c>
      <c r="E19" s="19" t="s">
        <v>16</v>
      </c>
      <c r="F19" s="18">
        <v>1299</v>
      </c>
      <c r="G19" s="18">
        <v>340</v>
      </c>
      <c r="H19" s="19" t="s">
        <v>12</v>
      </c>
    </row>
    <row r="20" spans="1:8">
      <c r="A20" s="19" t="s">
        <v>57</v>
      </c>
      <c r="B20" s="20">
        <v>46042</v>
      </c>
      <c r="C20" s="19" t="s">
        <v>23</v>
      </c>
      <c r="D20" s="19" t="s">
        <v>58</v>
      </c>
      <c r="E20" s="19" t="s">
        <v>21</v>
      </c>
      <c r="F20" s="18">
        <v>799</v>
      </c>
      <c r="G20" s="18">
        <v>240</v>
      </c>
      <c r="H20" s="19" t="s">
        <v>26</v>
      </c>
    </row>
    <row r="21" spans="1:8">
      <c r="A21" s="19" t="s">
        <v>59</v>
      </c>
      <c r="B21" s="20">
        <v>46043</v>
      </c>
      <c r="C21" s="19" t="s">
        <v>28</v>
      </c>
      <c r="D21" s="19" t="s">
        <v>60</v>
      </c>
      <c r="E21" s="19" t="s">
        <v>25</v>
      </c>
      <c r="F21" s="18">
        <v>1399</v>
      </c>
      <c r="G21" s="18">
        <v>420</v>
      </c>
      <c r="H21" s="19" t="s">
        <v>12</v>
      </c>
    </row>
    <row r="22" spans="1:8">
      <c r="A22" s="19" t="s">
        <v>61</v>
      </c>
      <c r="B22" s="20">
        <v>46044</v>
      </c>
      <c r="C22" s="19" t="s">
        <v>9</v>
      </c>
      <c r="D22" s="19" t="s">
        <v>10</v>
      </c>
      <c r="E22" s="19" t="s">
        <v>11</v>
      </c>
      <c r="F22" s="18">
        <v>1299</v>
      </c>
      <c r="G22" s="18">
        <v>390</v>
      </c>
      <c r="H22" s="19" t="s">
        <v>17</v>
      </c>
    </row>
    <row r="23" spans="1:8">
      <c r="A23" s="19" t="s">
        <v>62</v>
      </c>
      <c r="B23" s="20">
        <v>46045</v>
      </c>
      <c r="C23" s="19" t="s">
        <v>14</v>
      </c>
      <c r="D23" s="19" t="s">
        <v>15</v>
      </c>
      <c r="E23" s="19" t="s">
        <v>16</v>
      </c>
      <c r="F23" s="18">
        <v>799</v>
      </c>
      <c r="G23" s="18">
        <v>240</v>
      </c>
      <c r="H23" s="19" t="s">
        <v>12</v>
      </c>
    </row>
    <row r="24" spans="1:8">
      <c r="A24" s="19" t="s">
        <v>63</v>
      </c>
      <c r="B24" s="20">
        <v>46046</v>
      </c>
      <c r="C24" s="19" t="s">
        <v>19</v>
      </c>
      <c r="D24" s="19" t="s">
        <v>20</v>
      </c>
      <c r="E24" s="19" t="s">
        <v>21</v>
      </c>
      <c r="F24" s="18">
        <v>1999</v>
      </c>
      <c r="G24" s="18">
        <v>520</v>
      </c>
      <c r="H24" s="19" t="s">
        <v>30</v>
      </c>
    </row>
    <row r="25" spans="1:8">
      <c r="A25" s="19" t="s">
        <v>64</v>
      </c>
      <c r="B25" s="20">
        <v>46047</v>
      </c>
      <c r="C25" s="19" t="s">
        <v>23</v>
      </c>
      <c r="D25" s="19" t="s">
        <v>24</v>
      </c>
      <c r="E25" s="19" t="s">
        <v>25</v>
      </c>
      <c r="F25" s="18">
        <v>899</v>
      </c>
      <c r="G25" s="18">
        <v>270</v>
      </c>
      <c r="H25" s="19" t="s">
        <v>12</v>
      </c>
    </row>
    <row r="26" spans="1:8">
      <c r="A26" s="19" t="s">
        <v>65</v>
      </c>
      <c r="B26" s="20">
        <v>46048</v>
      </c>
      <c r="C26" s="19" t="s">
        <v>28</v>
      </c>
      <c r="D26" s="19" t="s">
        <v>29</v>
      </c>
      <c r="E26" s="19" t="s">
        <v>11</v>
      </c>
      <c r="F26" s="18">
        <v>599</v>
      </c>
      <c r="G26" s="18">
        <v>180</v>
      </c>
      <c r="H26" s="19" t="s">
        <v>26</v>
      </c>
    </row>
    <row r="27" spans="1:8">
      <c r="A27" s="19" t="s">
        <v>66</v>
      </c>
      <c r="B27" s="20">
        <v>46049</v>
      </c>
      <c r="C27" s="19" t="s">
        <v>9</v>
      </c>
      <c r="D27" s="19" t="s">
        <v>32</v>
      </c>
      <c r="E27" s="19" t="s">
        <v>16</v>
      </c>
      <c r="F27" s="18">
        <v>749</v>
      </c>
      <c r="G27" s="18">
        <v>225</v>
      </c>
      <c r="H27" s="19" t="s">
        <v>12</v>
      </c>
    </row>
    <row r="28" spans="1:8">
      <c r="A28" s="19" t="s">
        <v>67</v>
      </c>
      <c r="B28" s="20">
        <v>46050</v>
      </c>
      <c r="C28" s="19" t="s">
        <v>14</v>
      </c>
      <c r="D28" s="19" t="s">
        <v>34</v>
      </c>
      <c r="E28" s="19" t="s">
        <v>21</v>
      </c>
      <c r="F28" s="18">
        <v>1499</v>
      </c>
      <c r="G28" s="18">
        <v>450</v>
      </c>
      <c r="H28" s="19" t="s">
        <v>17</v>
      </c>
    </row>
    <row r="29" spans="1:8">
      <c r="A29" s="19" t="s">
        <v>68</v>
      </c>
      <c r="B29" s="20">
        <v>46051</v>
      </c>
      <c r="C29" s="19" t="s">
        <v>19</v>
      </c>
      <c r="D29" s="19" t="s">
        <v>36</v>
      </c>
      <c r="E29" s="19" t="s">
        <v>25</v>
      </c>
      <c r="F29" s="18">
        <v>2999</v>
      </c>
      <c r="G29" s="18">
        <v>780</v>
      </c>
      <c r="H29" s="19" t="s">
        <v>12</v>
      </c>
    </row>
    <row r="30" spans="1:8">
      <c r="A30" s="19" t="s">
        <v>69</v>
      </c>
      <c r="B30" s="20">
        <v>46052</v>
      </c>
      <c r="C30" s="19" t="s">
        <v>23</v>
      </c>
      <c r="D30" s="19" t="s">
        <v>38</v>
      </c>
      <c r="E30" s="19" t="s">
        <v>11</v>
      </c>
      <c r="F30" s="18">
        <v>1199</v>
      </c>
      <c r="G30" s="18">
        <v>360</v>
      </c>
      <c r="H30" s="19" t="s">
        <v>30</v>
      </c>
    </row>
    <row r="31" spans="1:8">
      <c r="A31" s="19" t="s">
        <v>70</v>
      </c>
      <c r="B31" s="20">
        <v>46053</v>
      </c>
      <c r="C31" s="19" t="s">
        <v>28</v>
      </c>
      <c r="D31" s="19" t="s">
        <v>40</v>
      </c>
      <c r="E31" s="19" t="s">
        <v>16</v>
      </c>
      <c r="F31" s="18">
        <v>499</v>
      </c>
      <c r="G31" s="18">
        <v>150</v>
      </c>
      <c r="H31" s="19" t="s">
        <v>26</v>
      </c>
    </row>
    <row r="32" spans="1:8">
      <c r="A32" s="19" t="s">
        <v>71</v>
      </c>
      <c r="B32" s="20">
        <v>46054</v>
      </c>
      <c r="C32" s="19" t="s">
        <v>9</v>
      </c>
      <c r="D32" s="19" t="s">
        <v>42</v>
      </c>
      <c r="E32" s="19" t="s">
        <v>21</v>
      </c>
      <c r="F32" s="18">
        <v>699</v>
      </c>
      <c r="G32" s="18">
        <v>210</v>
      </c>
      <c r="H32" s="19" t="s">
        <v>12</v>
      </c>
    </row>
    <row r="33" spans="1:8">
      <c r="A33" s="19" t="s">
        <v>72</v>
      </c>
      <c r="B33" s="20">
        <v>46055</v>
      </c>
      <c r="C33" s="19" t="s">
        <v>14</v>
      </c>
      <c r="D33" s="19" t="s">
        <v>44</v>
      </c>
      <c r="E33" s="19" t="s">
        <v>25</v>
      </c>
      <c r="F33" s="18">
        <v>1799</v>
      </c>
      <c r="G33" s="18">
        <v>540</v>
      </c>
      <c r="H33" s="19" t="s">
        <v>17</v>
      </c>
    </row>
    <row r="34" spans="1:8">
      <c r="A34" s="19" t="s">
        <v>73</v>
      </c>
      <c r="B34" s="20">
        <v>46056</v>
      </c>
      <c r="C34" s="19" t="s">
        <v>19</v>
      </c>
      <c r="D34" s="19" t="s">
        <v>46</v>
      </c>
      <c r="E34" s="19" t="s">
        <v>11</v>
      </c>
      <c r="F34" s="18">
        <v>1599</v>
      </c>
      <c r="G34" s="18">
        <v>420</v>
      </c>
      <c r="H34" s="19" t="s">
        <v>12</v>
      </c>
    </row>
    <row r="35" spans="1:8">
      <c r="A35" s="19" t="s">
        <v>74</v>
      </c>
      <c r="B35" s="20">
        <v>46057</v>
      </c>
      <c r="C35" s="19" t="s">
        <v>23</v>
      </c>
      <c r="D35" s="19" t="s">
        <v>48</v>
      </c>
      <c r="E35" s="19" t="s">
        <v>16</v>
      </c>
      <c r="F35" s="18">
        <v>699</v>
      </c>
      <c r="G35" s="18">
        <v>210</v>
      </c>
      <c r="H35" s="19" t="s">
        <v>26</v>
      </c>
    </row>
    <row r="36" spans="1:8">
      <c r="A36" s="19" t="s">
        <v>75</v>
      </c>
      <c r="B36" s="20">
        <v>46058</v>
      </c>
      <c r="C36" s="19" t="s">
        <v>28</v>
      </c>
      <c r="D36" s="19" t="s">
        <v>50</v>
      </c>
      <c r="E36" s="19" t="s">
        <v>21</v>
      </c>
      <c r="F36" s="18">
        <v>649</v>
      </c>
      <c r="G36" s="18">
        <v>195</v>
      </c>
      <c r="H36" s="19" t="s">
        <v>30</v>
      </c>
    </row>
    <row r="37" spans="1:8">
      <c r="A37" s="19" t="s">
        <v>76</v>
      </c>
      <c r="B37" s="20">
        <v>46059</v>
      </c>
      <c r="C37" s="19" t="s">
        <v>9</v>
      </c>
      <c r="D37" s="19" t="s">
        <v>52</v>
      </c>
      <c r="E37" s="19" t="s">
        <v>25</v>
      </c>
      <c r="F37" s="18">
        <v>549</v>
      </c>
      <c r="G37" s="18">
        <v>165</v>
      </c>
      <c r="H37" s="19" t="s">
        <v>12</v>
      </c>
    </row>
    <row r="38" spans="1:8">
      <c r="A38" s="19" t="s">
        <v>77</v>
      </c>
      <c r="B38" s="20">
        <v>46060</v>
      </c>
      <c r="C38" s="19" t="s">
        <v>14</v>
      </c>
      <c r="D38" s="19" t="s">
        <v>54</v>
      </c>
      <c r="E38" s="19" t="s">
        <v>11</v>
      </c>
      <c r="F38" s="18">
        <v>999</v>
      </c>
      <c r="G38" s="18">
        <v>300</v>
      </c>
      <c r="H38" s="19" t="s">
        <v>17</v>
      </c>
    </row>
    <row r="39" spans="1:8">
      <c r="A39" s="19" t="s">
        <v>78</v>
      </c>
      <c r="B39" s="20">
        <v>46061</v>
      </c>
      <c r="C39" s="19" t="s">
        <v>19</v>
      </c>
      <c r="D39" s="19" t="s">
        <v>56</v>
      </c>
      <c r="E39" s="19" t="s">
        <v>16</v>
      </c>
      <c r="F39" s="18">
        <v>1299</v>
      </c>
      <c r="G39" s="18">
        <v>340</v>
      </c>
      <c r="H39" s="19" t="s">
        <v>12</v>
      </c>
    </row>
    <row r="40" spans="1:8">
      <c r="A40" s="19" t="s">
        <v>79</v>
      </c>
      <c r="B40" s="20">
        <v>46062</v>
      </c>
      <c r="C40" s="19" t="s">
        <v>23</v>
      </c>
      <c r="D40" s="19" t="s">
        <v>58</v>
      </c>
      <c r="E40" s="19" t="s">
        <v>21</v>
      </c>
      <c r="F40" s="18">
        <v>799</v>
      </c>
      <c r="G40" s="18">
        <v>240</v>
      </c>
      <c r="H40" s="19" t="s">
        <v>26</v>
      </c>
    </row>
    <row r="41" spans="1:8">
      <c r="A41" s="19" t="s">
        <v>80</v>
      </c>
      <c r="B41" s="20">
        <v>46063</v>
      </c>
      <c r="C41" s="19" t="s">
        <v>28</v>
      </c>
      <c r="D41" s="19" t="s">
        <v>60</v>
      </c>
      <c r="E41" s="19" t="s">
        <v>25</v>
      </c>
      <c r="F41" s="18">
        <v>1399</v>
      </c>
      <c r="G41" s="18">
        <v>420</v>
      </c>
      <c r="H41" s="19" t="s">
        <v>12</v>
      </c>
    </row>
    <row r="42" spans="1:8">
      <c r="A42" s="19" t="s">
        <v>81</v>
      </c>
      <c r="B42" s="20">
        <v>46064</v>
      </c>
      <c r="C42" s="19" t="s">
        <v>9</v>
      </c>
      <c r="D42" s="19" t="s">
        <v>10</v>
      </c>
      <c r="E42" s="19" t="s">
        <v>11</v>
      </c>
      <c r="F42" s="18">
        <v>1299</v>
      </c>
      <c r="G42" s="18">
        <v>390</v>
      </c>
      <c r="H42" s="19" t="s">
        <v>30</v>
      </c>
    </row>
    <row r="43" spans="1:8">
      <c r="A43" s="19" t="s">
        <v>82</v>
      </c>
      <c r="B43" s="20">
        <v>46065</v>
      </c>
      <c r="C43" s="19" t="s">
        <v>14</v>
      </c>
      <c r="D43" s="19" t="s">
        <v>15</v>
      </c>
      <c r="E43" s="19" t="s">
        <v>16</v>
      </c>
      <c r="F43" s="18">
        <v>799</v>
      </c>
      <c r="G43" s="18">
        <v>240</v>
      </c>
      <c r="H43" s="19" t="s">
        <v>12</v>
      </c>
    </row>
    <row r="44" spans="1:8">
      <c r="A44" s="19" t="s">
        <v>83</v>
      </c>
      <c r="B44" s="20">
        <v>46066</v>
      </c>
      <c r="C44" s="19" t="s">
        <v>19</v>
      </c>
      <c r="D44" s="19" t="s">
        <v>20</v>
      </c>
      <c r="E44" s="19" t="s">
        <v>21</v>
      </c>
      <c r="F44" s="18">
        <v>1999</v>
      </c>
      <c r="G44" s="18">
        <v>520</v>
      </c>
      <c r="H44" s="19" t="s">
        <v>17</v>
      </c>
    </row>
    <row r="45" spans="1:8">
      <c r="A45" s="19" t="s">
        <v>84</v>
      </c>
      <c r="B45" s="20">
        <v>46067</v>
      </c>
      <c r="C45" s="19" t="s">
        <v>23</v>
      </c>
      <c r="D45" s="19" t="s">
        <v>24</v>
      </c>
      <c r="E45" s="19" t="s">
        <v>25</v>
      </c>
      <c r="F45" s="18">
        <v>899</v>
      </c>
      <c r="G45" s="18">
        <v>270</v>
      </c>
      <c r="H45" s="19" t="s">
        <v>12</v>
      </c>
    </row>
    <row r="46" spans="1:8">
      <c r="A46" s="19" t="s">
        <v>85</v>
      </c>
      <c r="B46" s="20">
        <v>46068</v>
      </c>
      <c r="C46" s="19" t="s">
        <v>28</v>
      </c>
      <c r="D46" s="19" t="s">
        <v>29</v>
      </c>
      <c r="E46" s="19" t="s">
        <v>11</v>
      </c>
      <c r="F46" s="18">
        <v>599</v>
      </c>
      <c r="G46" s="18">
        <v>180</v>
      </c>
      <c r="H46" s="19" t="s">
        <v>26</v>
      </c>
    </row>
    <row r="47" spans="1:8">
      <c r="A47" s="19" t="s">
        <v>86</v>
      </c>
      <c r="B47" s="20">
        <v>46069</v>
      </c>
      <c r="C47" s="19" t="s">
        <v>9</v>
      </c>
      <c r="D47" s="19" t="s">
        <v>32</v>
      </c>
      <c r="E47" s="19" t="s">
        <v>16</v>
      </c>
      <c r="F47" s="18">
        <v>749</v>
      </c>
      <c r="G47" s="18">
        <v>225</v>
      </c>
      <c r="H47" s="19" t="s">
        <v>30</v>
      </c>
    </row>
    <row r="48" spans="1:8">
      <c r="A48" s="19" t="s">
        <v>87</v>
      </c>
      <c r="B48" s="20">
        <v>46070</v>
      </c>
      <c r="C48" s="19" t="s">
        <v>14</v>
      </c>
      <c r="D48" s="19" t="s">
        <v>34</v>
      </c>
      <c r="E48" s="19" t="s">
        <v>21</v>
      </c>
      <c r="F48" s="18">
        <v>1499</v>
      </c>
      <c r="G48" s="18">
        <v>450</v>
      </c>
      <c r="H48" s="19" t="s">
        <v>12</v>
      </c>
    </row>
    <row r="49" spans="1:8">
      <c r="A49" s="19" t="s">
        <v>88</v>
      </c>
      <c r="B49" s="20">
        <v>46071</v>
      </c>
      <c r="C49" s="19" t="s">
        <v>19</v>
      </c>
      <c r="D49" s="19" t="s">
        <v>36</v>
      </c>
      <c r="E49" s="19" t="s">
        <v>25</v>
      </c>
      <c r="F49" s="18">
        <v>2999</v>
      </c>
      <c r="G49" s="18">
        <v>780</v>
      </c>
      <c r="H49" s="19" t="s">
        <v>17</v>
      </c>
    </row>
    <row r="50" spans="1:8">
      <c r="A50" s="19" t="s">
        <v>89</v>
      </c>
      <c r="B50" s="20">
        <v>46072</v>
      </c>
      <c r="C50" s="19" t="s">
        <v>23</v>
      </c>
      <c r="D50" s="19" t="s">
        <v>38</v>
      </c>
      <c r="E50" s="19" t="s">
        <v>11</v>
      </c>
      <c r="F50" s="18">
        <v>1199</v>
      </c>
      <c r="G50" s="18">
        <v>360</v>
      </c>
      <c r="H50" s="19" t="s">
        <v>12</v>
      </c>
    </row>
    <row r="51" spans="1:8">
      <c r="A51" s="19" t="s">
        <v>90</v>
      </c>
      <c r="B51" s="20">
        <v>46073</v>
      </c>
      <c r="C51" s="19" t="s">
        <v>28</v>
      </c>
      <c r="D51" s="19" t="s">
        <v>40</v>
      </c>
      <c r="E51" s="19" t="s">
        <v>16</v>
      </c>
      <c r="F51" s="18">
        <v>499</v>
      </c>
      <c r="G51" s="18">
        <v>150</v>
      </c>
      <c r="H51" s="19" t="s">
        <v>26</v>
      </c>
    </row>
    <row r="52" spans="1:8">
      <c r="A52" s="19" t="s">
        <v>91</v>
      </c>
      <c r="B52" s="20">
        <v>46074</v>
      </c>
      <c r="C52" s="19" t="s">
        <v>9</v>
      </c>
      <c r="D52" s="19" t="s">
        <v>42</v>
      </c>
      <c r="E52" s="19" t="s">
        <v>21</v>
      </c>
      <c r="F52" s="18">
        <v>699</v>
      </c>
      <c r="G52" s="18">
        <v>210</v>
      </c>
      <c r="H52" s="19" t="s">
        <v>12</v>
      </c>
    </row>
    <row r="53" spans="1:8">
      <c r="A53" s="19" t="s">
        <v>92</v>
      </c>
      <c r="B53" s="20">
        <v>46075</v>
      </c>
      <c r="C53" s="19" t="s">
        <v>14</v>
      </c>
      <c r="D53" s="19" t="s">
        <v>44</v>
      </c>
      <c r="E53" s="19" t="s">
        <v>25</v>
      </c>
      <c r="F53" s="18">
        <v>1799</v>
      </c>
      <c r="G53" s="18">
        <v>540</v>
      </c>
      <c r="H53" s="19" t="s">
        <v>30</v>
      </c>
    </row>
    <row r="54" spans="1:8">
      <c r="A54" s="19" t="s">
        <v>93</v>
      </c>
      <c r="B54" s="20">
        <v>46076</v>
      </c>
      <c r="C54" s="19" t="s">
        <v>19</v>
      </c>
      <c r="D54" s="19" t="s">
        <v>46</v>
      </c>
      <c r="E54" s="19" t="s">
        <v>11</v>
      </c>
      <c r="F54" s="18">
        <v>1599</v>
      </c>
      <c r="G54" s="18">
        <v>420</v>
      </c>
      <c r="H54" s="19" t="s">
        <v>17</v>
      </c>
    </row>
    <row r="55" spans="1:8">
      <c r="A55" s="19" t="s">
        <v>94</v>
      </c>
      <c r="B55" s="20">
        <v>46077</v>
      </c>
      <c r="C55" s="19" t="s">
        <v>23</v>
      </c>
      <c r="D55" s="19" t="s">
        <v>48</v>
      </c>
      <c r="E55" s="19" t="s">
        <v>16</v>
      </c>
      <c r="F55" s="18">
        <v>699</v>
      </c>
      <c r="G55" s="18">
        <v>210</v>
      </c>
      <c r="H55" s="19" t="s">
        <v>12</v>
      </c>
    </row>
    <row r="56" spans="1:8">
      <c r="A56" s="19" t="s">
        <v>95</v>
      </c>
      <c r="B56" s="20">
        <v>46078</v>
      </c>
      <c r="C56" s="19" t="s">
        <v>28</v>
      </c>
      <c r="D56" s="19" t="s">
        <v>50</v>
      </c>
      <c r="E56" s="19" t="s">
        <v>21</v>
      </c>
      <c r="F56" s="18">
        <v>649</v>
      </c>
      <c r="G56" s="18">
        <v>195</v>
      </c>
      <c r="H56" s="19" t="s">
        <v>26</v>
      </c>
    </row>
    <row r="57" spans="1:8">
      <c r="A57" s="19" t="s">
        <v>96</v>
      </c>
      <c r="B57" s="20">
        <v>46079</v>
      </c>
      <c r="C57" s="19" t="s">
        <v>9</v>
      </c>
      <c r="D57" s="19" t="s">
        <v>52</v>
      </c>
      <c r="E57" s="19" t="s">
        <v>25</v>
      </c>
      <c r="F57" s="18">
        <v>549</v>
      </c>
      <c r="G57" s="18">
        <v>165</v>
      </c>
      <c r="H57" s="19" t="s">
        <v>12</v>
      </c>
    </row>
    <row r="58" spans="1:8">
      <c r="A58" s="19" t="s">
        <v>97</v>
      </c>
      <c r="B58" s="20">
        <v>46080</v>
      </c>
      <c r="C58" s="19" t="s">
        <v>14</v>
      </c>
      <c r="D58" s="19" t="s">
        <v>54</v>
      </c>
      <c r="E58" s="19" t="s">
        <v>11</v>
      </c>
      <c r="F58" s="18">
        <v>999</v>
      </c>
      <c r="G58" s="18">
        <v>300</v>
      </c>
      <c r="H58" s="19" t="s">
        <v>30</v>
      </c>
    </row>
    <row r="59" spans="1:8">
      <c r="A59" s="19" t="s">
        <v>98</v>
      </c>
      <c r="B59" s="20">
        <v>46081</v>
      </c>
      <c r="C59" s="19" t="s">
        <v>19</v>
      </c>
      <c r="D59" s="19" t="s">
        <v>56</v>
      </c>
      <c r="E59" s="19" t="s">
        <v>16</v>
      </c>
      <c r="F59" s="18">
        <v>1299</v>
      </c>
      <c r="G59" s="18">
        <v>340</v>
      </c>
      <c r="H59" s="19" t="s">
        <v>12</v>
      </c>
    </row>
    <row r="60" spans="1:8">
      <c r="A60" s="19" t="s">
        <v>99</v>
      </c>
      <c r="B60" s="20">
        <v>46082</v>
      </c>
      <c r="C60" s="19" t="s">
        <v>23</v>
      </c>
      <c r="D60" s="19" t="s">
        <v>58</v>
      </c>
      <c r="E60" s="19" t="s">
        <v>21</v>
      </c>
      <c r="F60" s="18">
        <v>799</v>
      </c>
      <c r="G60" s="18">
        <v>240</v>
      </c>
      <c r="H60" s="19" t="s">
        <v>17</v>
      </c>
    </row>
    <row r="61" spans="1:8">
      <c r="A61" s="19" t="s">
        <v>100</v>
      </c>
      <c r="B61" s="20">
        <v>46083</v>
      </c>
      <c r="C61" s="19" t="s">
        <v>28</v>
      </c>
      <c r="D61" s="19" t="s">
        <v>60</v>
      </c>
      <c r="E61" s="19" t="s">
        <v>25</v>
      </c>
      <c r="F61" s="18">
        <v>1399</v>
      </c>
      <c r="G61" s="18">
        <v>420</v>
      </c>
      <c r="H61" s="19" t="s">
        <v>12</v>
      </c>
    </row>
    <row r="62" spans="1:8">
      <c r="A62" s="19" t="s">
        <v>101</v>
      </c>
      <c r="B62" s="20">
        <v>46084</v>
      </c>
      <c r="C62" s="19" t="s">
        <v>9</v>
      </c>
      <c r="D62" s="19" t="s">
        <v>10</v>
      </c>
      <c r="E62" s="19" t="s">
        <v>11</v>
      </c>
      <c r="F62" s="18">
        <v>1299</v>
      </c>
      <c r="G62" s="18">
        <v>390</v>
      </c>
      <c r="H62" s="19" t="s">
        <v>26</v>
      </c>
    </row>
    <row r="63" spans="1:8">
      <c r="A63" s="19" t="s">
        <v>102</v>
      </c>
      <c r="B63" s="20">
        <v>46085</v>
      </c>
      <c r="C63" s="19" t="s">
        <v>14</v>
      </c>
      <c r="D63" s="19" t="s">
        <v>15</v>
      </c>
      <c r="E63" s="19" t="s">
        <v>16</v>
      </c>
      <c r="F63" s="18">
        <v>799</v>
      </c>
      <c r="G63" s="18">
        <v>240</v>
      </c>
      <c r="H63" s="19" t="s">
        <v>12</v>
      </c>
    </row>
    <row r="64" spans="1:8">
      <c r="A64" s="19" t="s">
        <v>103</v>
      </c>
      <c r="B64" s="20">
        <v>46086</v>
      </c>
      <c r="C64" s="19" t="s">
        <v>19</v>
      </c>
      <c r="D64" s="19" t="s">
        <v>20</v>
      </c>
      <c r="E64" s="19" t="s">
        <v>21</v>
      </c>
      <c r="F64" s="18">
        <v>1999</v>
      </c>
      <c r="G64" s="18">
        <v>520</v>
      </c>
      <c r="H64" s="19" t="s">
        <v>30</v>
      </c>
    </row>
    <row r="65" spans="1:8">
      <c r="A65" s="19" t="s">
        <v>104</v>
      </c>
      <c r="B65" s="20">
        <v>46087</v>
      </c>
      <c r="C65" s="19" t="s">
        <v>23</v>
      </c>
      <c r="D65" s="19" t="s">
        <v>24</v>
      </c>
      <c r="E65" s="19" t="s">
        <v>25</v>
      </c>
      <c r="F65" s="18">
        <v>899</v>
      </c>
      <c r="G65" s="18">
        <v>270</v>
      </c>
      <c r="H65" s="19" t="s">
        <v>12</v>
      </c>
    </row>
    <row r="66" spans="1:8">
      <c r="A66" s="19" t="s">
        <v>105</v>
      </c>
      <c r="B66" s="20">
        <v>46088</v>
      </c>
      <c r="C66" s="19" t="s">
        <v>28</v>
      </c>
      <c r="D66" s="19" t="s">
        <v>29</v>
      </c>
      <c r="E66" s="19" t="s">
        <v>11</v>
      </c>
      <c r="F66" s="18">
        <v>599</v>
      </c>
      <c r="G66" s="18">
        <v>180</v>
      </c>
      <c r="H66" s="19" t="s">
        <v>17</v>
      </c>
    </row>
    <row r="67" spans="1:8">
      <c r="A67" s="19" t="s">
        <v>106</v>
      </c>
      <c r="B67" s="20">
        <v>46089</v>
      </c>
      <c r="C67" s="19" t="s">
        <v>9</v>
      </c>
      <c r="D67" s="19" t="s">
        <v>32</v>
      </c>
      <c r="E67" s="19" t="s">
        <v>16</v>
      </c>
      <c r="F67" s="18">
        <v>749</v>
      </c>
      <c r="G67" s="18">
        <v>225</v>
      </c>
      <c r="H67" s="19" t="s">
        <v>12</v>
      </c>
    </row>
    <row r="68" spans="1:8">
      <c r="A68" s="19" t="s">
        <v>107</v>
      </c>
      <c r="B68" s="20">
        <v>46090</v>
      </c>
      <c r="C68" s="19" t="s">
        <v>14</v>
      </c>
      <c r="D68" s="19" t="s">
        <v>34</v>
      </c>
      <c r="E68" s="19" t="s">
        <v>21</v>
      </c>
      <c r="F68" s="18">
        <v>1499</v>
      </c>
      <c r="G68" s="18">
        <v>450</v>
      </c>
      <c r="H68" s="19" t="s">
        <v>26</v>
      </c>
    </row>
    <row r="69" spans="1:8">
      <c r="A69" s="19" t="s">
        <v>108</v>
      </c>
      <c r="B69" s="20">
        <v>46091</v>
      </c>
      <c r="C69" s="19" t="s">
        <v>19</v>
      </c>
      <c r="D69" s="19" t="s">
        <v>36</v>
      </c>
      <c r="E69" s="19" t="s">
        <v>25</v>
      </c>
      <c r="F69" s="18">
        <v>2999</v>
      </c>
      <c r="G69" s="18">
        <v>780</v>
      </c>
      <c r="H69" s="19" t="s">
        <v>12</v>
      </c>
    </row>
    <row r="70" spans="1:8">
      <c r="A70" s="19" t="s">
        <v>109</v>
      </c>
      <c r="B70" s="20">
        <v>46092</v>
      </c>
      <c r="C70" s="19" t="s">
        <v>23</v>
      </c>
      <c r="D70" s="19" t="s">
        <v>38</v>
      </c>
      <c r="E70" s="19" t="s">
        <v>11</v>
      </c>
      <c r="F70" s="18">
        <v>1199</v>
      </c>
      <c r="G70" s="18">
        <v>360</v>
      </c>
      <c r="H70" s="19" t="s">
        <v>30</v>
      </c>
    </row>
    <row r="71" spans="1:8">
      <c r="A71" s="19" t="s">
        <v>110</v>
      </c>
      <c r="B71" s="20">
        <v>46093</v>
      </c>
      <c r="C71" s="19" t="s">
        <v>28</v>
      </c>
      <c r="D71" s="19" t="s">
        <v>40</v>
      </c>
      <c r="E71" s="19" t="s">
        <v>16</v>
      </c>
      <c r="F71" s="18">
        <v>499</v>
      </c>
      <c r="G71" s="18">
        <v>150</v>
      </c>
      <c r="H71" s="19" t="s">
        <v>12</v>
      </c>
    </row>
    <row r="72" spans="1:8">
      <c r="A72" s="19" t="s">
        <v>111</v>
      </c>
      <c r="B72" s="20">
        <v>46094</v>
      </c>
      <c r="C72" s="19" t="s">
        <v>9</v>
      </c>
      <c r="D72" s="19" t="s">
        <v>42</v>
      </c>
      <c r="E72" s="19" t="s">
        <v>21</v>
      </c>
      <c r="F72" s="18">
        <v>699</v>
      </c>
      <c r="G72" s="18">
        <v>210</v>
      </c>
      <c r="H72" s="19" t="s">
        <v>17</v>
      </c>
    </row>
    <row r="73" spans="1:8">
      <c r="A73" s="19" t="s">
        <v>112</v>
      </c>
      <c r="B73" s="20">
        <v>46095</v>
      </c>
      <c r="C73" s="19" t="s">
        <v>14</v>
      </c>
      <c r="D73" s="19" t="s">
        <v>44</v>
      </c>
      <c r="E73" s="19" t="s">
        <v>25</v>
      </c>
      <c r="F73" s="18">
        <v>1799</v>
      </c>
      <c r="G73" s="18">
        <v>540</v>
      </c>
      <c r="H73" s="19" t="s">
        <v>12</v>
      </c>
    </row>
    <row r="74" spans="1:8">
      <c r="A74" s="19" t="s">
        <v>113</v>
      </c>
      <c r="B74" s="20">
        <v>46096</v>
      </c>
      <c r="C74" s="19" t="s">
        <v>19</v>
      </c>
      <c r="D74" s="19" t="s">
        <v>46</v>
      </c>
      <c r="E74" s="19" t="s">
        <v>11</v>
      </c>
      <c r="F74" s="18">
        <v>1599</v>
      </c>
      <c r="G74" s="18">
        <v>420</v>
      </c>
      <c r="H74" s="19" t="s">
        <v>26</v>
      </c>
    </row>
    <row r="75" spans="1:8">
      <c r="A75" s="19" t="s">
        <v>114</v>
      </c>
      <c r="B75" s="20">
        <v>46097</v>
      </c>
      <c r="C75" s="19" t="s">
        <v>23</v>
      </c>
      <c r="D75" s="19" t="s">
        <v>48</v>
      </c>
      <c r="E75" s="19" t="s">
        <v>16</v>
      </c>
      <c r="F75" s="18">
        <v>699</v>
      </c>
      <c r="G75" s="18">
        <v>210</v>
      </c>
      <c r="H75" s="19" t="s">
        <v>12</v>
      </c>
    </row>
    <row r="76" spans="1:8">
      <c r="A76" s="19" t="s">
        <v>115</v>
      </c>
      <c r="B76" s="20">
        <v>46098</v>
      </c>
      <c r="C76" s="19" t="s">
        <v>28</v>
      </c>
      <c r="D76" s="19" t="s">
        <v>50</v>
      </c>
      <c r="E76" s="19" t="s">
        <v>21</v>
      </c>
      <c r="F76" s="18">
        <v>649</v>
      </c>
      <c r="G76" s="18">
        <v>195</v>
      </c>
      <c r="H76" s="19" t="s">
        <v>30</v>
      </c>
    </row>
    <row r="77" spans="1:8">
      <c r="A77" s="19" t="s">
        <v>116</v>
      </c>
      <c r="B77" s="20">
        <v>46099</v>
      </c>
      <c r="C77" s="19" t="s">
        <v>9</v>
      </c>
      <c r="D77" s="19" t="s">
        <v>52</v>
      </c>
      <c r="E77" s="19" t="s">
        <v>25</v>
      </c>
      <c r="F77" s="18">
        <v>549</v>
      </c>
      <c r="G77" s="18">
        <v>165</v>
      </c>
      <c r="H77" s="19" t="s">
        <v>12</v>
      </c>
    </row>
    <row r="78" spans="1:8">
      <c r="A78" s="19" t="s">
        <v>117</v>
      </c>
      <c r="B78" s="20">
        <v>46100</v>
      </c>
      <c r="C78" s="19" t="s">
        <v>14</v>
      </c>
      <c r="D78" s="19" t="s">
        <v>54</v>
      </c>
      <c r="E78" s="19" t="s">
        <v>11</v>
      </c>
      <c r="F78" s="18">
        <v>999</v>
      </c>
      <c r="G78" s="18">
        <v>300</v>
      </c>
      <c r="H78" s="19" t="s">
        <v>17</v>
      </c>
    </row>
    <row r="79" spans="1:8">
      <c r="A79" s="19" t="s">
        <v>118</v>
      </c>
      <c r="B79" s="20">
        <v>46101</v>
      </c>
      <c r="C79" s="19" t="s">
        <v>19</v>
      </c>
      <c r="D79" s="19" t="s">
        <v>56</v>
      </c>
      <c r="E79" s="19" t="s">
        <v>16</v>
      </c>
      <c r="F79" s="18">
        <v>1299</v>
      </c>
      <c r="G79" s="18">
        <v>340</v>
      </c>
      <c r="H79" s="19" t="s">
        <v>12</v>
      </c>
    </row>
    <row r="80" spans="1:8">
      <c r="A80" s="19" t="s">
        <v>119</v>
      </c>
      <c r="B80" s="20">
        <v>46102</v>
      </c>
      <c r="C80" s="19" t="s">
        <v>23</v>
      </c>
      <c r="D80" s="19" t="s">
        <v>58</v>
      </c>
      <c r="E80" s="19" t="s">
        <v>21</v>
      </c>
      <c r="F80" s="18">
        <v>799</v>
      </c>
      <c r="G80" s="18">
        <v>240</v>
      </c>
      <c r="H80" s="19" t="s">
        <v>26</v>
      </c>
    </row>
    <row r="81" spans="1:8">
      <c r="A81" s="19" t="s">
        <v>120</v>
      </c>
      <c r="B81" s="20">
        <v>46103</v>
      </c>
      <c r="C81" s="19" t="s">
        <v>28</v>
      </c>
      <c r="D81" s="19" t="s">
        <v>60</v>
      </c>
      <c r="E81" s="19" t="s">
        <v>25</v>
      </c>
      <c r="F81" s="18">
        <v>1399</v>
      </c>
      <c r="G81" s="18">
        <v>420</v>
      </c>
      <c r="H81" s="19" t="s">
        <v>12</v>
      </c>
    </row>
    <row r="82" spans="1:8">
      <c r="A82" s="19" t="s">
        <v>121</v>
      </c>
      <c r="B82" s="20">
        <v>46104</v>
      </c>
      <c r="C82" s="19" t="s">
        <v>9</v>
      </c>
      <c r="D82" s="19" t="s">
        <v>10</v>
      </c>
      <c r="E82" s="19" t="s">
        <v>11</v>
      </c>
      <c r="F82" s="18">
        <v>1299</v>
      </c>
      <c r="G82" s="18">
        <v>390</v>
      </c>
      <c r="H82" s="19" t="s">
        <v>30</v>
      </c>
    </row>
    <row r="83" spans="1:8">
      <c r="A83" s="19" t="s">
        <v>122</v>
      </c>
      <c r="B83" s="20">
        <v>46105</v>
      </c>
      <c r="C83" s="19" t="s">
        <v>14</v>
      </c>
      <c r="D83" s="19" t="s">
        <v>15</v>
      </c>
      <c r="E83" s="19" t="s">
        <v>16</v>
      </c>
      <c r="F83" s="18">
        <v>799</v>
      </c>
      <c r="G83" s="18">
        <v>240</v>
      </c>
      <c r="H83" s="19" t="s">
        <v>12</v>
      </c>
    </row>
    <row r="84" spans="1:8">
      <c r="A84" s="19" t="s">
        <v>123</v>
      </c>
      <c r="B84" s="20">
        <v>46106</v>
      </c>
      <c r="C84" s="19" t="s">
        <v>19</v>
      </c>
      <c r="D84" s="19" t="s">
        <v>20</v>
      </c>
      <c r="E84" s="19" t="s">
        <v>21</v>
      </c>
      <c r="F84" s="18">
        <v>1999</v>
      </c>
      <c r="G84" s="18">
        <v>520</v>
      </c>
      <c r="H84" s="19" t="s">
        <v>17</v>
      </c>
    </row>
    <row r="85" spans="1:8">
      <c r="A85" s="19" t="s">
        <v>124</v>
      </c>
      <c r="B85" s="20">
        <v>46107</v>
      </c>
      <c r="C85" s="19" t="s">
        <v>23</v>
      </c>
      <c r="D85" s="19" t="s">
        <v>24</v>
      </c>
      <c r="E85" s="19" t="s">
        <v>25</v>
      </c>
      <c r="F85" s="18">
        <v>899</v>
      </c>
      <c r="G85" s="18">
        <v>270</v>
      </c>
      <c r="H85" s="19" t="s">
        <v>12</v>
      </c>
    </row>
    <row r="86" spans="1:8">
      <c r="A86" s="19" t="s">
        <v>125</v>
      </c>
      <c r="B86" s="20">
        <v>46108</v>
      </c>
      <c r="C86" s="19" t="s">
        <v>28</v>
      </c>
      <c r="D86" s="19" t="s">
        <v>29</v>
      </c>
      <c r="E86" s="19" t="s">
        <v>11</v>
      </c>
      <c r="F86" s="18">
        <v>599</v>
      </c>
      <c r="G86" s="18">
        <v>180</v>
      </c>
      <c r="H86" s="19" t="s">
        <v>26</v>
      </c>
    </row>
    <row r="87" spans="1:8">
      <c r="A87" s="19" t="s">
        <v>126</v>
      </c>
      <c r="B87" s="20">
        <v>46109</v>
      </c>
      <c r="C87" s="19" t="s">
        <v>9</v>
      </c>
      <c r="D87" s="19" t="s">
        <v>32</v>
      </c>
      <c r="E87" s="19" t="s">
        <v>16</v>
      </c>
      <c r="F87" s="18">
        <v>749</v>
      </c>
      <c r="G87" s="18">
        <v>225</v>
      </c>
      <c r="H87" s="19" t="s">
        <v>12</v>
      </c>
    </row>
    <row r="88" spans="1:8">
      <c r="A88" s="19" t="s">
        <v>127</v>
      </c>
      <c r="B88" s="20">
        <v>46110</v>
      </c>
      <c r="C88" s="19" t="s">
        <v>14</v>
      </c>
      <c r="D88" s="19" t="s">
        <v>34</v>
      </c>
      <c r="E88" s="19" t="s">
        <v>21</v>
      </c>
      <c r="F88" s="18">
        <v>1499</v>
      </c>
      <c r="G88" s="18">
        <v>450</v>
      </c>
      <c r="H88" s="19" t="s">
        <v>30</v>
      </c>
    </row>
    <row r="89" spans="1:8">
      <c r="A89" s="19" t="s">
        <v>128</v>
      </c>
      <c r="B89" s="20">
        <v>46111</v>
      </c>
      <c r="C89" s="19" t="s">
        <v>19</v>
      </c>
      <c r="D89" s="19" t="s">
        <v>36</v>
      </c>
      <c r="E89" s="19" t="s">
        <v>25</v>
      </c>
      <c r="F89" s="18">
        <v>2999</v>
      </c>
      <c r="G89" s="18">
        <v>780</v>
      </c>
      <c r="H89" s="19" t="s">
        <v>12</v>
      </c>
    </row>
    <row r="90" spans="1:8">
      <c r="A90" s="19" t="s">
        <v>129</v>
      </c>
      <c r="B90" s="20">
        <v>46112</v>
      </c>
      <c r="C90" s="19" t="s">
        <v>23</v>
      </c>
      <c r="D90" s="19" t="s">
        <v>38</v>
      </c>
      <c r="E90" s="19" t="s">
        <v>11</v>
      </c>
      <c r="F90" s="18">
        <v>1199</v>
      </c>
      <c r="G90" s="18">
        <v>360</v>
      </c>
      <c r="H90" s="19" t="s">
        <v>17</v>
      </c>
    </row>
    <row r="91" spans="1:8">
      <c r="A91" s="19" t="s">
        <v>130</v>
      </c>
      <c r="B91" s="20">
        <v>46113</v>
      </c>
      <c r="C91" s="19" t="s">
        <v>28</v>
      </c>
      <c r="D91" s="19" t="s">
        <v>40</v>
      </c>
      <c r="E91" s="19" t="s">
        <v>16</v>
      </c>
      <c r="F91" s="18">
        <v>499</v>
      </c>
      <c r="G91" s="18">
        <v>150</v>
      </c>
      <c r="H91" s="19" t="s">
        <v>12</v>
      </c>
    </row>
    <row r="92" spans="1:8">
      <c r="A92" s="19" t="s">
        <v>131</v>
      </c>
      <c r="B92" s="20">
        <v>46114</v>
      </c>
      <c r="C92" s="19" t="s">
        <v>9</v>
      </c>
      <c r="D92" s="19" t="s">
        <v>42</v>
      </c>
      <c r="E92" s="19" t="s">
        <v>21</v>
      </c>
      <c r="F92" s="18">
        <v>699</v>
      </c>
      <c r="G92" s="18">
        <v>210</v>
      </c>
      <c r="H92" s="19" t="s">
        <v>26</v>
      </c>
    </row>
    <row r="93" spans="1:8">
      <c r="A93" s="19" t="s">
        <v>132</v>
      </c>
      <c r="B93" s="20">
        <v>46115</v>
      </c>
      <c r="C93" s="19" t="s">
        <v>14</v>
      </c>
      <c r="D93" s="19" t="s">
        <v>44</v>
      </c>
      <c r="E93" s="19" t="s">
        <v>25</v>
      </c>
      <c r="F93" s="18">
        <v>1799</v>
      </c>
      <c r="G93" s="18">
        <v>540</v>
      </c>
      <c r="H93" s="19" t="s">
        <v>12</v>
      </c>
    </row>
    <row r="94" spans="1:8">
      <c r="A94" s="19" t="s">
        <v>133</v>
      </c>
      <c r="B94" s="20">
        <v>46116</v>
      </c>
      <c r="C94" s="19" t="s">
        <v>19</v>
      </c>
      <c r="D94" s="19" t="s">
        <v>46</v>
      </c>
      <c r="E94" s="19" t="s">
        <v>11</v>
      </c>
      <c r="F94" s="18">
        <v>1599</v>
      </c>
      <c r="G94" s="18">
        <v>420</v>
      </c>
      <c r="H94" s="19" t="s">
        <v>30</v>
      </c>
    </row>
    <row r="95" spans="1:8">
      <c r="A95" s="19" t="s">
        <v>134</v>
      </c>
      <c r="B95" s="20">
        <v>46117</v>
      </c>
      <c r="C95" s="19" t="s">
        <v>23</v>
      </c>
      <c r="D95" s="19" t="s">
        <v>48</v>
      </c>
      <c r="E95" s="19" t="s">
        <v>16</v>
      </c>
      <c r="F95" s="18">
        <v>699</v>
      </c>
      <c r="G95" s="18">
        <v>210</v>
      </c>
      <c r="H95" s="19" t="s">
        <v>12</v>
      </c>
    </row>
    <row r="96" spans="1:8">
      <c r="A96" s="19" t="s">
        <v>135</v>
      </c>
      <c r="B96" s="20">
        <v>46118</v>
      </c>
      <c r="C96" s="19" t="s">
        <v>28</v>
      </c>
      <c r="D96" s="19" t="s">
        <v>50</v>
      </c>
      <c r="E96" s="19" t="s">
        <v>21</v>
      </c>
      <c r="F96" s="18">
        <v>649</v>
      </c>
      <c r="G96" s="18">
        <v>195</v>
      </c>
      <c r="H96" s="19" t="s">
        <v>17</v>
      </c>
    </row>
    <row r="97" spans="1:8">
      <c r="A97" s="19" t="s">
        <v>136</v>
      </c>
      <c r="B97" s="20">
        <v>46119</v>
      </c>
      <c r="C97" s="19" t="s">
        <v>9</v>
      </c>
      <c r="D97" s="19" t="s">
        <v>52</v>
      </c>
      <c r="E97" s="19" t="s">
        <v>25</v>
      </c>
      <c r="F97" s="18">
        <v>549</v>
      </c>
      <c r="G97" s="18">
        <v>165</v>
      </c>
      <c r="H97" s="19" t="s">
        <v>12</v>
      </c>
    </row>
    <row r="98" spans="1:8">
      <c r="A98" s="19" t="s">
        <v>137</v>
      </c>
      <c r="B98" s="20">
        <v>46120</v>
      </c>
      <c r="C98" s="19" t="s">
        <v>14</v>
      </c>
      <c r="D98" s="19" t="s">
        <v>54</v>
      </c>
      <c r="E98" s="19" t="s">
        <v>11</v>
      </c>
      <c r="F98" s="18">
        <v>999</v>
      </c>
      <c r="G98" s="18">
        <v>300</v>
      </c>
      <c r="H98" s="19" t="s">
        <v>26</v>
      </c>
    </row>
    <row r="99" spans="1:8">
      <c r="A99" s="19" t="s">
        <v>138</v>
      </c>
      <c r="B99" s="20">
        <v>46121</v>
      </c>
      <c r="C99" s="19" t="s">
        <v>19</v>
      </c>
      <c r="D99" s="19" t="s">
        <v>56</v>
      </c>
      <c r="E99" s="19" t="s">
        <v>16</v>
      </c>
      <c r="F99" s="18">
        <v>1299</v>
      </c>
      <c r="G99" s="18">
        <v>340</v>
      </c>
      <c r="H99" s="19" t="s">
        <v>12</v>
      </c>
    </row>
    <row r="100" spans="1:8">
      <c r="A100" s="19" t="s">
        <v>139</v>
      </c>
      <c r="B100" s="20">
        <v>46122</v>
      </c>
      <c r="C100" s="19" t="s">
        <v>23</v>
      </c>
      <c r="D100" s="19" t="s">
        <v>58</v>
      </c>
      <c r="E100" s="19" t="s">
        <v>21</v>
      </c>
      <c r="F100" s="18">
        <v>799</v>
      </c>
      <c r="G100" s="18">
        <v>240</v>
      </c>
      <c r="H100" s="19" t="s">
        <v>30</v>
      </c>
    </row>
    <row r="101" spans="1:8">
      <c r="A101" s="19" t="s">
        <v>140</v>
      </c>
      <c r="B101" s="20">
        <v>46123</v>
      </c>
      <c r="C101" s="19" t="s">
        <v>28</v>
      </c>
      <c r="D101" s="19" t="s">
        <v>60</v>
      </c>
      <c r="E101" s="19" t="s">
        <v>25</v>
      </c>
      <c r="F101" s="18">
        <v>1399</v>
      </c>
      <c r="G101" s="18">
        <v>420</v>
      </c>
      <c r="H101" s="19" t="s">
        <v>12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8"/>
  <sheetViews>
    <sheetView workbookViewId="0">
      <selection activeCell="A4" sqref="A4:B4"/>
    </sheetView>
  </sheetViews>
  <sheetFormatPr defaultColWidth="9" defaultRowHeight="13.5" outlineLevelRow="7" outlineLevelCol="1"/>
  <cols>
    <col min="1" max="1" width="13.425" customWidth="1"/>
    <col min="2" max="2" width="12.425" customWidth="1"/>
  </cols>
  <sheetData>
    <row r="3" spans="1:2">
      <c r="A3" t="s">
        <v>141</v>
      </c>
      <c r="B3" t="s">
        <v>142</v>
      </c>
    </row>
    <row r="4" spans="1:2">
      <c r="A4" s="17" t="s">
        <v>25</v>
      </c>
      <c r="B4" s="18">
        <v>38225</v>
      </c>
    </row>
    <row r="5" spans="1:2">
      <c r="A5" s="17" t="s">
        <v>11</v>
      </c>
      <c r="B5" s="18">
        <v>28475</v>
      </c>
    </row>
    <row r="6" spans="1:2">
      <c r="A6" s="17" t="s">
        <v>21</v>
      </c>
      <c r="B6" s="18">
        <v>28225</v>
      </c>
    </row>
    <row r="7" spans="1:2">
      <c r="A7" s="17" t="s">
        <v>16</v>
      </c>
      <c r="B7" s="18">
        <v>20225</v>
      </c>
    </row>
    <row r="8" spans="1:2">
      <c r="A8" s="17" t="s">
        <v>143</v>
      </c>
      <c r="B8" s="18">
        <v>115150</v>
      </c>
    </row>
  </sheetData>
  <pageMargins left="0.7" right="0.7" top="0.75" bottom="0.75" header="0.3" footer="0.3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9"/>
  <sheetViews>
    <sheetView workbookViewId="0">
      <selection activeCell="M16" sqref="M16"/>
    </sheetView>
  </sheetViews>
  <sheetFormatPr defaultColWidth="9" defaultRowHeight="13.5" outlineLevelCol="1"/>
  <cols>
    <col min="1" max="1" width="13.425" customWidth="1"/>
    <col min="2" max="2" width="12.425" customWidth="1"/>
  </cols>
  <sheetData>
    <row r="3" spans="1:2">
      <c r="A3" t="s">
        <v>141</v>
      </c>
      <c r="B3" t="s">
        <v>142</v>
      </c>
    </row>
    <row r="4" spans="1:2">
      <c r="A4" s="17" t="s">
        <v>14</v>
      </c>
      <c r="B4" s="18">
        <v>25480</v>
      </c>
    </row>
    <row r="5" spans="1:2">
      <c r="A5" s="17" t="s">
        <v>28</v>
      </c>
      <c r="B5" s="18">
        <v>15730</v>
      </c>
    </row>
    <row r="6" spans="1:2">
      <c r="A6" s="17" t="s">
        <v>19</v>
      </c>
      <c r="B6" s="18">
        <v>39480</v>
      </c>
    </row>
    <row r="7" spans="1:2">
      <c r="A7" s="17" t="s">
        <v>23</v>
      </c>
      <c r="B7" s="18">
        <v>17980</v>
      </c>
    </row>
    <row r="8" spans="1:2">
      <c r="A8" s="17" t="s">
        <v>9</v>
      </c>
      <c r="B8" s="18">
        <v>16480</v>
      </c>
    </row>
    <row r="9" spans="1:2">
      <c r="A9" s="17" t="s">
        <v>143</v>
      </c>
      <c r="B9" s="18">
        <v>115150</v>
      </c>
    </row>
  </sheetData>
  <pageMargins left="0.7" right="0.7" top="0.75" bottom="0.75" header="0.3" footer="0.3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8"/>
  <sheetViews>
    <sheetView workbookViewId="0">
      <selection activeCell="P18" sqref="P18"/>
    </sheetView>
  </sheetViews>
  <sheetFormatPr defaultColWidth="9" defaultRowHeight="13.5" outlineLevelRow="7" outlineLevelCol="1"/>
  <cols>
    <col min="1" max="1" width="13.425" customWidth="1"/>
    <col min="2" max="2" width="12.425" customWidth="1"/>
  </cols>
  <sheetData>
    <row r="3" spans="1:2">
      <c r="A3" t="s">
        <v>141</v>
      </c>
      <c r="B3" t="s">
        <v>142</v>
      </c>
    </row>
    <row r="4" spans="1:2">
      <c r="A4" s="17" t="s">
        <v>144</v>
      </c>
      <c r="B4" s="18">
        <v>35570</v>
      </c>
    </row>
    <row r="5" spans="1:2">
      <c r="A5" s="17" t="s">
        <v>145</v>
      </c>
      <c r="B5" s="18">
        <v>31322</v>
      </c>
    </row>
    <row r="6" spans="1:2">
      <c r="A6" s="17" t="s">
        <v>146</v>
      </c>
      <c r="B6" s="18">
        <v>37269</v>
      </c>
    </row>
    <row r="7" spans="1:2">
      <c r="A7" s="17" t="s">
        <v>147</v>
      </c>
      <c r="B7" s="18">
        <v>10989</v>
      </c>
    </row>
    <row r="8" spans="1:2">
      <c r="A8" s="17" t="s">
        <v>143</v>
      </c>
      <c r="B8" s="18">
        <v>115150</v>
      </c>
    </row>
  </sheetData>
  <pageMargins left="0.7" right="0.7" top="0.75" bottom="0.75" header="0.3" footer="0.3"/>
  <headerFooter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R31"/>
  <sheetViews>
    <sheetView tabSelected="1" topLeftCell="A13" workbookViewId="0">
      <selection activeCell="R2" sqref="R2"/>
    </sheetView>
  </sheetViews>
  <sheetFormatPr defaultColWidth="9" defaultRowHeight="13.5"/>
  <cols>
    <col min="10" max="10" width="10.5666666666667" customWidth="1"/>
    <col min="16" max="16" width="10.8583333333333" customWidth="1"/>
  </cols>
  <sheetData>
    <row r="2" spans="1:16">
      <c r="A2" s="1" t="s">
        <v>148</v>
      </c>
      <c r="B2" s="2"/>
      <c r="C2" s="2"/>
      <c r="D2" s="2"/>
      <c r="G2" s="1" t="s">
        <v>149</v>
      </c>
      <c r="H2" s="1"/>
      <c r="I2" s="1"/>
      <c r="J2" s="1"/>
      <c r="M2" s="1" t="s">
        <v>150</v>
      </c>
      <c r="N2" s="2"/>
      <c r="O2" s="2"/>
      <c r="P2" s="2"/>
    </row>
    <row r="3" spans="1:16">
      <c r="A3" s="2"/>
      <c r="B3" s="2"/>
      <c r="C3" s="2"/>
      <c r="D3" s="2"/>
      <c r="G3" s="1"/>
      <c r="H3" s="1"/>
      <c r="I3" s="1"/>
      <c r="J3" s="1"/>
      <c r="M3" s="2"/>
      <c r="N3" s="2"/>
      <c r="O3" s="2"/>
      <c r="P3" s="2"/>
    </row>
    <row r="4" spans="1:16">
      <c r="A4" s="3">
        <f>SUM(Table1[sales])</f>
        <v>115150</v>
      </c>
      <c r="B4" s="3"/>
      <c r="C4" s="3"/>
      <c r="D4" s="3"/>
      <c r="G4" s="3">
        <f>SUM(Table1[profit])</f>
        <v>33025</v>
      </c>
      <c r="H4" s="3"/>
      <c r="I4" s="3"/>
      <c r="J4" s="3"/>
      <c r="M4" s="14">
        <f>SUM('D2C sales data'!G2:G101)/SUM('D2C sales data'!F2:F101)</f>
        <v>0.286799826313504</v>
      </c>
      <c r="N4" s="14"/>
      <c r="O4" s="14"/>
      <c r="P4" s="14"/>
    </row>
    <row r="7" ht="15" customHeight="1" spans="15:18">
      <c r="O7" s="15" t="s">
        <v>151</v>
      </c>
      <c r="P7" s="16"/>
      <c r="Q7" s="16"/>
      <c r="R7" s="16"/>
    </row>
    <row r="21" spans="1:10">
      <c r="A21" s="4" t="s">
        <v>152</v>
      </c>
      <c r="B21" s="4"/>
      <c r="C21" s="4"/>
      <c r="D21" s="4"/>
      <c r="E21" s="4"/>
      <c r="F21" s="4"/>
      <c r="G21" s="4"/>
      <c r="H21" s="4"/>
      <c r="I21" s="4"/>
      <c r="J21" s="4"/>
    </row>
    <row r="22" spans="1:10">
      <c r="A22" s="5" t="s">
        <v>153</v>
      </c>
      <c r="B22" s="6"/>
      <c r="C22" s="6"/>
      <c r="D22" s="6"/>
      <c r="E22" s="6"/>
      <c r="F22" s="6"/>
      <c r="G22" s="6"/>
      <c r="H22" s="6"/>
      <c r="I22" s="6"/>
      <c r="J22" s="6"/>
    </row>
    <row r="23" spans="1:10">
      <c r="A23" s="7" t="s">
        <v>154</v>
      </c>
      <c r="B23" s="8"/>
      <c r="C23" s="8"/>
      <c r="D23" s="8"/>
      <c r="E23" s="8"/>
      <c r="F23" s="8"/>
      <c r="G23" s="8"/>
      <c r="H23" s="8"/>
      <c r="I23" s="8"/>
      <c r="J23" s="8"/>
    </row>
    <row r="24" ht="30" customHeight="1" spans="1:10">
      <c r="A24" s="9" t="s">
        <v>155</v>
      </c>
      <c r="B24" s="10"/>
      <c r="C24" s="10"/>
      <c r="D24" s="10"/>
      <c r="E24" s="10"/>
      <c r="F24" s="10"/>
      <c r="G24" s="10"/>
      <c r="H24" s="10"/>
      <c r="I24" s="10"/>
      <c r="J24" s="10"/>
    </row>
    <row r="25" ht="34" customHeight="1" spans="1:10">
      <c r="A25" s="9" t="s">
        <v>156</v>
      </c>
      <c r="B25" s="10"/>
      <c r="C25" s="10"/>
      <c r="D25" s="10"/>
      <c r="E25" s="10"/>
      <c r="F25" s="10"/>
      <c r="G25" s="10"/>
      <c r="H25" s="10"/>
      <c r="I25" s="10"/>
      <c r="J25" s="10"/>
    </row>
    <row r="27" spans="1:11">
      <c r="A27" s="11" t="s">
        <v>157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</row>
    <row r="28" ht="27" customHeight="1" spans="1:11">
      <c r="A28" s="12" t="s">
        <v>158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</row>
    <row r="30" spans="1:14">
      <c r="A30" s="11" t="s">
        <v>159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</row>
    <row r="31" ht="26" customHeight="1" spans="1:14">
      <c r="A31" s="12" t="s">
        <v>160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</row>
  </sheetData>
  <mergeCells count="16">
    <mergeCell ref="A4:D4"/>
    <mergeCell ref="G4:J4"/>
    <mergeCell ref="M4:P4"/>
    <mergeCell ref="O7:R7"/>
    <mergeCell ref="A21:J21"/>
    <mergeCell ref="A22:J22"/>
    <mergeCell ref="A23:J23"/>
    <mergeCell ref="A24:J24"/>
    <mergeCell ref="A25:J25"/>
    <mergeCell ref="A27:K27"/>
    <mergeCell ref="A28:K28"/>
    <mergeCell ref="A30:N30"/>
    <mergeCell ref="A31:N31"/>
    <mergeCell ref="A2:D3"/>
    <mergeCell ref="M2:P3"/>
    <mergeCell ref="G2:J3"/>
  </mergeCells>
  <pageMargins left="0.7" right="0.7" top="0.75" bottom="0.75" header="0.3" footer="0.3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D2C sales data</vt:lpstr>
      <vt:lpstr>Region Sales</vt:lpstr>
      <vt:lpstr>Category Sales</vt:lpstr>
      <vt:lpstr>Monthly Trends</vt:lpstr>
      <vt:lpstr>Dashboard_Final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 Rajnikant</dc:creator>
  <cp:lastModifiedBy>Admin</cp:lastModifiedBy>
  <dcterms:created xsi:type="dcterms:W3CDTF">2026-10-05T20:42:00Z</dcterms:created>
  <dcterms:modified xsi:type="dcterms:W3CDTF">2026-10-07T14:15:09Z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f8610cf-4e4f-4168-a9a0-556235a89a9b_Enabled">
    <vt:lpwstr>true</vt:lpwstr>
  </property>
  <property fmtid="{D5CDD505-2E9C-101B-9397-08002B2CF9AE}" pid="3" name="MSIP_Label_5f8610cf-4e4f-4168-a9a0-556235a89a9b_SetDate">
    <vt:lpwstr>2026-10-05T21:31:28Z</vt:lpwstr>
  </property>
  <property fmtid="{D5CDD505-2E9C-101B-9397-08002B2CF9AE}" pid="4" name="MSIP_Label_5f8610cf-4e4f-4168-a9a0-556235a89a9b_Method">
    <vt:lpwstr>Standard</vt:lpwstr>
  </property>
  <property fmtid="{D5CDD505-2E9C-101B-9397-08002B2CF9AE}" pid="5" name="MSIP_Label_5f8610cf-4e4f-4168-a9a0-556235a89a9b_Name">
    <vt:lpwstr>Unclassified</vt:lpwstr>
  </property>
  <property fmtid="{D5CDD505-2E9C-101B-9397-08002B2CF9AE}" pid="6" name="MSIP_Label_5f8610cf-4e4f-4168-a9a0-556235a89a9b_SiteId">
    <vt:lpwstr>7694d41c-5504-43d9-9e40-cb254ad755ec</vt:lpwstr>
  </property>
  <property fmtid="{D5CDD505-2E9C-101B-9397-08002B2CF9AE}" pid="7" name="MSIP_Label_5f8610cf-4e4f-4168-a9a0-556235a89a9b_ActionId">
    <vt:lpwstr>678d7191-5075-460c-b031-01b3e8186c3b</vt:lpwstr>
  </property>
  <property fmtid="{D5CDD505-2E9C-101B-9397-08002B2CF9AE}" pid="8" name="MSIP_Label_5f8610cf-4e4f-4168-a9a0-556235a89a9b_ContentBits">
    <vt:lpwstr>0</vt:lpwstr>
  </property>
  <property fmtid="{D5CDD505-2E9C-101B-9397-08002B2CF9AE}" pid="9" name="MSIP_Label_5f8610cf-4e4f-4168-a9a0-556235a89a9b_Tag">
    <vt:lpwstr>10, 3, 0, 1</vt:lpwstr>
  </property>
  <property fmtid="{D5CDD505-2E9C-101B-9397-08002B2CF9AE}" pid="10" name="ICV">
    <vt:lpwstr>14584BFA082C43E69789638A7EF02D05_12</vt:lpwstr>
  </property>
  <property fmtid="{D5CDD505-2E9C-101B-9397-08002B2CF9AE}" pid="11" name="KSOProductBuildVer">
    <vt:lpwstr>2057-12.2.0.23206</vt:lpwstr>
  </property>
</Properties>
</file>